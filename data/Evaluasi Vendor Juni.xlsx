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ahmita.rufaidah\Downloads\"/>
    </mc:Choice>
  </mc:AlternateContent>
  <xr:revisionPtr revIDLastSave="0" documentId="13_ncr:1_{BD8498CF-9C77-4A29-A473-1538AF7BBC1F}" xr6:coauthVersionLast="47" xr6:coauthVersionMax="47" xr10:uidLastSave="{00000000-0000-0000-0000-000000000000}"/>
  <bookViews>
    <workbookView xWindow="-120" yWindow="-120" windowWidth="20730" windowHeight="11160" tabRatio="500" firstSheet="1" xr2:uid="{00000000-000D-0000-FFFF-FFFF00000000}"/>
  </bookViews>
  <sheets>
    <sheet name="Rekapitulasi" sheetId="1" r:id="rId1"/>
    <sheet name="Bu Fatim" sheetId="2" r:id="rId2"/>
    <sheet name="UD. Hasil Bumi" sheetId="3" r:id="rId3"/>
    <sheet name="Pak Budi Jeruk" sheetId="4" r:id="rId4"/>
    <sheet name="AM Seafood" sheetId="5" r:id="rId5"/>
    <sheet name="Bakoelan Udang" sheetId="6" r:id="rId6"/>
    <sheet name="AHA Mulya" sheetId="7" state="hidden" r:id="rId7"/>
    <sheet name="Redjo Mitra Makmur" sheetId="8" r:id="rId8"/>
    <sheet name="Mie Kapasan" sheetId="9" r:id="rId9"/>
    <sheet name="Daging Kandang" sheetId="10" r:id="rId10"/>
    <sheet name="UD Yasar" sheetId="19" r:id="rId11"/>
    <sheet name="Umi Rosyid" sheetId="18" r:id="rId12"/>
    <sheet name="Mitra Pangan Handijaya" sheetId="11" r:id="rId13"/>
    <sheet name="Blessing Chicken " sheetId="12" r:id="rId14"/>
    <sheet name="Efran" sheetId="13" r:id="rId15"/>
    <sheet name="Ciomas Japfa" sheetId="14" state="hidden" r:id="rId16"/>
    <sheet name="Pak Trio" sheetId="15" r:id="rId17"/>
    <sheet name="Anugrah Telur" sheetId="16" r:id="rId18"/>
    <sheet name="Sumber Rejeki" sheetId="17" r:id="rId19"/>
  </sheets>
  <definedNames>
    <definedName name="_xlnm.Print_Area" localSheetId="6">'AHA Mulya'!$A$1:$E$34</definedName>
    <definedName name="_xlnm.Print_Area" localSheetId="4">'AM Seafood'!$A$1:$E$40</definedName>
    <definedName name="_xlnm.Print_Area" localSheetId="17">'Anugrah Telur'!$A$1:$E$36</definedName>
    <definedName name="_xlnm.Print_Area" localSheetId="5">'Bakoelan Udang'!$A$1:$E$40</definedName>
    <definedName name="_xlnm.Print_Area" localSheetId="13">'Blessing Chicken '!$A$1:$E$36</definedName>
    <definedName name="_xlnm.Print_Area" localSheetId="1">'Bu Fatim'!$A$1:$E$36</definedName>
    <definedName name="_xlnm.Print_Area" localSheetId="15">'Ciomas Japfa'!$A$1:$E$43</definedName>
    <definedName name="_xlnm.Print_Area" localSheetId="9">'Daging Kandang'!$A$1:$E$34</definedName>
    <definedName name="_xlnm.Print_Area" localSheetId="14">Efran!$A$1:$E$43</definedName>
    <definedName name="_xlnm.Print_Area" localSheetId="8">'Mie Kapasan'!$A$1:$E$34</definedName>
    <definedName name="_xlnm.Print_Area" localSheetId="12">'Mitra Pangan Handijaya'!$A$1:$E$38</definedName>
    <definedName name="_xlnm.Print_Area" localSheetId="3">'Pak Budi Jeruk'!$A$1:$E$40</definedName>
    <definedName name="_xlnm.Print_Area" localSheetId="16">'Pak Trio'!$A$1:$E$43</definedName>
    <definedName name="_xlnm.Print_Area" localSheetId="7">'Redjo Mitra Makmur'!$A$1:$E$34</definedName>
    <definedName name="_xlnm.Print_Area" localSheetId="18">'Sumber Rejeki'!$A$1:$E$36</definedName>
    <definedName name="_xlnm.Print_Area" localSheetId="10">'UD Yasar'!$A$1:$E$34</definedName>
    <definedName name="_xlnm.Print_Area" localSheetId="2">'UD. Hasil Bumi'!$A$1:$E$35</definedName>
    <definedName name="_xlnm.Print_Area" localSheetId="11">'Umi Rosyid'!$A$1:$E$34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1" l="1"/>
  <c r="B16" i="19"/>
  <c r="D15" i="19"/>
  <c r="D14" i="19"/>
  <c r="D13" i="19"/>
  <c r="D12" i="19"/>
  <c r="D11" i="19"/>
  <c r="D10" i="19"/>
  <c r="D9" i="19"/>
  <c r="B16" i="18"/>
  <c r="D15" i="18"/>
  <c r="D14" i="18"/>
  <c r="D13" i="18"/>
  <c r="D12" i="18"/>
  <c r="D11" i="18"/>
  <c r="D10" i="18"/>
  <c r="D9" i="18"/>
  <c r="B16" i="17"/>
  <c r="D15" i="17"/>
  <c r="D14" i="17"/>
  <c r="D13" i="17"/>
  <c r="D12" i="17"/>
  <c r="D11" i="17"/>
  <c r="D10" i="17"/>
  <c r="D9" i="17"/>
  <c r="D16" i="17" s="1"/>
  <c r="D17" i="17" s="1"/>
  <c r="B16" i="16"/>
  <c r="D15" i="16"/>
  <c r="D14" i="16"/>
  <c r="D13" i="16"/>
  <c r="D12" i="16"/>
  <c r="D11" i="16"/>
  <c r="D10" i="16"/>
  <c r="D9" i="16"/>
  <c r="D16" i="16" s="1"/>
  <c r="D17" i="16" s="1"/>
  <c r="B16" i="15"/>
  <c r="D15" i="15"/>
  <c r="D14" i="15"/>
  <c r="D13" i="15"/>
  <c r="D12" i="15"/>
  <c r="D11" i="15"/>
  <c r="D10" i="15"/>
  <c r="D9" i="15"/>
  <c r="D16" i="15" s="1"/>
  <c r="D17" i="15" s="1"/>
  <c r="B16" i="14"/>
  <c r="D15" i="14"/>
  <c r="D14" i="14"/>
  <c r="D13" i="14"/>
  <c r="D12" i="14"/>
  <c r="D11" i="14"/>
  <c r="D10" i="14"/>
  <c r="D9" i="14"/>
  <c r="D16" i="14" s="1"/>
  <c r="D17" i="14" s="1"/>
  <c r="E17" i="14" s="1"/>
  <c r="B16" i="13"/>
  <c r="D15" i="13"/>
  <c r="D14" i="13"/>
  <c r="D13" i="13"/>
  <c r="D12" i="13"/>
  <c r="D11" i="13"/>
  <c r="D10" i="13"/>
  <c r="D9" i="13"/>
  <c r="D16" i="13" s="1"/>
  <c r="D17" i="13" s="1"/>
  <c r="B16" i="12"/>
  <c r="D15" i="12"/>
  <c r="D14" i="12"/>
  <c r="D13" i="12"/>
  <c r="D12" i="12"/>
  <c r="D11" i="12"/>
  <c r="D10" i="12"/>
  <c r="D9" i="12"/>
  <c r="D16" i="12" s="1"/>
  <c r="D17" i="12" s="1"/>
  <c r="B16" i="11"/>
  <c r="D15" i="11"/>
  <c r="D14" i="11"/>
  <c r="D13" i="11"/>
  <c r="D12" i="11"/>
  <c r="D11" i="11"/>
  <c r="D10" i="11"/>
  <c r="D9" i="11"/>
  <c r="D16" i="11" s="1"/>
  <c r="D17" i="11" s="1"/>
  <c r="B16" i="10"/>
  <c r="D15" i="10"/>
  <c r="D14" i="10"/>
  <c r="D13" i="10"/>
  <c r="D12" i="10"/>
  <c r="D11" i="10"/>
  <c r="D10" i="10"/>
  <c r="D9" i="10"/>
  <c r="B16" i="9"/>
  <c r="D15" i="9"/>
  <c r="D14" i="9"/>
  <c r="D13" i="9"/>
  <c r="D12" i="9"/>
  <c r="D11" i="9"/>
  <c r="D10" i="9"/>
  <c r="D9" i="9"/>
  <c r="D16" i="9" s="1"/>
  <c r="D17" i="9" s="1"/>
  <c r="B16" i="8"/>
  <c r="D15" i="8"/>
  <c r="D14" i="8"/>
  <c r="D13" i="8"/>
  <c r="D12" i="8"/>
  <c r="D11" i="8"/>
  <c r="D10" i="8"/>
  <c r="D9" i="8"/>
  <c r="D16" i="8" s="1"/>
  <c r="D17" i="8" s="1"/>
  <c r="E17" i="8" s="1"/>
  <c r="B16" i="7"/>
  <c r="D15" i="7"/>
  <c r="D14" i="7"/>
  <c r="D13" i="7"/>
  <c r="D12" i="7"/>
  <c r="D11" i="7"/>
  <c r="D10" i="7"/>
  <c r="D9" i="7"/>
  <c r="D16" i="7" s="1"/>
  <c r="D17" i="7" s="1"/>
  <c r="E17" i="7" s="1"/>
  <c r="B16" i="6"/>
  <c r="D15" i="6"/>
  <c r="D14" i="6"/>
  <c r="D13" i="6"/>
  <c r="D12" i="6"/>
  <c r="D11" i="6"/>
  <c r="D10" i="6"/>
  <c r="D9" i="6"/>
  <c r="D16" i="6" s="1"/>
  <c r="D17" i="6" s="1"/>
  <c r="B16" i="5"/>
  <c r="D15" i="5"/>
  <c r="D14" i="5"/>
  <c r="D13" i="5"/>
  <c r="D12" i="5"/>
  <c r="D11" i="5"/>
  <c r="D10" i="5"/>
  <c r="D9" i="5"/>
  <c r="D16" i="5" s="1"/>
  <c r="D17" i="5" s="1"/>
  <c r="B16" i="4"/>
  <c r="D15" i="4"/>
  <c r="D14" i="4"/>
  <c r="D13" i="4"/>
  <c r="D12" i="4"/>
  <c r="D11" i="4"/>
  <c r="D10" i="4"/>
  <c r="D9" i="4"/>
  <c r="D16" i="4" s="1"/>
  <c r="D17" i="4" s="1"/>
  <c r="B16" i="3"/>
  <c r="D15" i="3"/>
  <c r="D14" i="3"/>
  <c r="D13" i="3"/>
  <c r="D12" i="3"/>
  <c r="D11" i="3"/>
  <c r="D10" i="3"/>
  <c r="D9" i="3"/>
  <c r="D16" i="3" s="1"/>
  <c r="D17" i="3" s="1"/>
  <c r="B16" i="2"/>
  <c r="D15" i="2"/>
  <c r="D14" i="2"/>
  <c r="D13" i="2"/>
  <c r="D12" i="2"/>
  <c r="D11" i="2"/>
  <c r="D10" i="2"/>
  <c r="D9" i="2"/>
  <c r="D16" i="2" s="1"/>
  <c r="D17" i="2" s="1"/>
  <c r="D16" i="10" l="1"/>
  <c r="D17" i="10" s="1"/>
  <c r="E12" i="1" s="1"/>
  <c r="D16" i="19"/>
  <c r="D17" i="19" s="1"/>
  <c r="E17" i="19" s="1"/>
  <c r="D16" i="18"/>
  <c r="D17" i="18" s="1"/>
  <c r="E17" i="2"/>
  <c r="F5" i="1" s="1"/>
  <c r="E5" i="1"/>
  <c r="E7" i="1"/>
  <c r="E17" i="4"/>
  <c r="F7" i="1" s="1"/>
  <c r="E17" i="9"/>
  <c r="F10" i="1" s="1"/>
  <c r="E10" i="1"/>
  <c r="E13" i="1"/>
  <c r="E17" i="11"/>
  <c r="E14" i="1"/>
  <c r="E17" i="12"/>
  <c r="F14" i="1" s="1"/>
  <c r="E17" i="13"/>
  <c r="F15" i="1" s="1"/>
  <c r="E15" i="1"/>
  <c r="E16" i="1"/>
  <c r="E17" i="15"/>
  <c r="F16" i="1" s="1"/>
  <c r="E17" i="16"/>
  <c r="F17" i="1" s="1"/>
  <c r="E17" i="1"/>
  <c r="E6" i="1"/>
  <c r="E17" i="3"/>
  <c r="F6" i="1" s="1"/>
  <c r="E17" i="5"/>
  <c r="F8" i="1" s="1"/>
  <c r="E8" i="1"/>
  <c r="E17" i="6"/>
  <c r="F9" i="1" s="1"/>
  <c r="E9" i="1"/>
  <c r="E17" i="17"/>
  <c r="F18" i="1" s="1"/>
  <c r="E18" i="1"/>
  <c r="E17" i="10" l="1"/>
  <c r="F12" i="1" s="1"/>
  <c r="E17" i="18"/>
  <c r="F11" i="1" s="1"/>
  <c r="E11" i="1"/>
</calcChain>
</file>

<file path=xl/sharedStrings.xml><?xml version="1.0" encoding="utf-8"?>
<sst xmlns="http://schemas.openxmlformats.org/spreadsheetml/2006/main" count="975" uniqueCount="149">
  <si>
    <t>REKAPITULASI</t>
  </si>
  <si>
    <t>Nomor</t>
  </si>
  <si>
    <t>Nama Vendor</t>
  </si>
  <si>
    <t>Bahan</t>
  </si>
  <si>
    <t>Nilai Evaluasi</t>
  </si>
  <si>
    <t>Hasil</t>
  </si>
  <si>
    <t>Bu Fatim</t>
  </si>
  <si>
    <t>Sayuran</t>
  </si>
  <si>
    <t>UD. Hasil Bumi</t>
  </si>
  <si>
    <t>Pak Budi Jeruk</t>
  </si>
  <si>
    <t>Jeruk</t>
  </si>
  <si>
    <t>AM Seafood</t>
  </si>
  <si>
    <t>Udang Kupas</t>
  </si>
  <si>
    <t>Bakoelan Udang</t>
  </si>
  <si>
    <t>Udang BB Fanami</t>
  </si>
  <si>
    <t>Mie Kapasan</t>
  </si>
  <si>
    <t xml:space="preserve">Mie </t>
  </si>
  <si>
    <t>Umi Rosyid</t>
  </si>
  <si>
    <t>Daging Bakwan, Bakwan Mentah, Iga Mentah</t>
  </si>
  <si>
    <t>Mitra Pangan Perkasa</t>
  </si>
  <si>
    <t>Otot Frozen</t>
  </si>
  <si>
    <t>Blessing Chicken</t>
  </si>
  <si>
    <t>Ayam Fillet Paha dan Ayam Fillet Dada</t>
  </si>
  <si>
    <t>Efran</t>
  </si>
  <si>
    <t xml:space="preserve">Ayam Fillet Paha, Kulit Ayam Mentah, Ayam Fillet Dada, Ayam F. Paha Kulit </t>
  </si>
  <si>
    <t>Pak Trio</t>
  </si>
  <si>
    <t>Cabe Merah Besar, Cabe Kecil, Cabe Acar</t>
  </si>
  <si>
    <t>Anugrah Telur</t>
  </si>
  <si>
    <t>Telur Ayam</t>
  </si>
  <si>
    <t>Sumber Rejeki</t>
  </si>
  <si>
    <t>FORM EVALUASI SUPPLIER</t>
  </si>
  <si>
    <t>Nama Perusahaan:</t>
  </si>
  <si>
    <t>Bahan/Jasa:</t>
  </si>
  <si>
    <t>Periode Evaluasi:</t>
  </si>
  <si>
    <t>01 April 2026 - 30 April 2026</t>
  </si>
  <si>
    <t>Kriteria Evaluasi</t>
  </si>
  <si>
    <t>Bobot
(%)</t>
  </si>
  <si>
    <t>Skor
(1-4)</t>
  </si>
  <si>
    <t>Nilai
(bobot x Skor)</t>
  </si>
  <si>
    <t>Komentar</t>
  </si>
  <si>
    <t>Kualitas Produk</t>
  </si>
  <si>
    <t>Kualitas produk datang sesuai standard</t>
  </si>
  <si>
    <t>Kesesuaian Quantity</t>
  </si>
  <si>
    <t>Quantity yang datang sering kali lebih dari orderan</t>
  </si>
  <si>
    <t>Terlalu Cepat</t>
  </si>
  <si>
    <t>Ketepatan Pengiriman</t>
  </si>
  <si>
    <t>Pengiriman selalu sesuai lead time</t>
  </si>
  <si>
    <t>Harga Kompetitif</t>
  </si>
  <si>
    <t xml:space="preserve">Harga kompetitif, ada beberapa item yang harganya lebih unggul (rendah) dari supplier lain </t>
  </si>
  <si>
    <t>Pelayanan dan Responsivitas</t>
  </si>
  <si>
    <t>Supplier bisa menerima kritik dan saran</t>
  </si>
  <si>
    <t>Fleksibilitas Pesanan</t>
  </si>
  <si>
    <t>Tidak bisa order dadakan</t>
  </si>
  <si>
    <t>Kondisi Pembayaran</t>
  </si>
  <si>
    <t>Tempo 7 Hari</t>
  </si>
  <si>
    <t>Total Nilai</t>
  </si>
  <si>
    <t>Keterangan</t>
  </si>
  <si>
    <t>Skoring</t>
  </si>
  <si>
    <t>Deskripsi</t>
  </si>
  <si>
    <t>Skor</t>
  </si>
  <si>
    <t>Sangat baik</t>
  </si>
  <si>
    <t>Baik</t>
  </si>
  <si>
    <t>Kurang</t>
  </si>
  <si>
    <t>Sangat Kurang</t>
  </si>
  <si>
    <t>Hasil Total Nilai</t>
  </si>
  <si>
    <t>Kriteria dan Keputusan</t>
  </si>
  <si>
    <t>Excellent (Pertahankan, tingkatkan kerjasama)</t>
  </si>
  <si>
    <t>≥ 3,7</t>
  </si>
  <si>
    <t>Good (Perlu sedikit perbaikan)</t>
  </si>
  <si>
    <t>3,0 - 3,6</t>
  </si>
  <si>
    <t>Poor (Ganti Supplier)</t>
  </si>
  <si>
    <t>&lt; 3</t>
  </si>
  <si>
    <t>Dibuat Oleh</t>
  </si>
  <si>
    <t>Disetujui Oleh</t>
  </si>
  <si>
    <t>Rahmita R</t>
  </si>
  <si>
    <t>Riesthandie</t>
  </si>
  <si>
    <t>Procurement Staf</t>
  </si>
  <si>
    <t>Procurement &amp; Purchasing Manager</t>
  </si>
  <si>
    <t>Quantity datang sesuai orderan, jikalau setelah ditimbang ada yang kurang, supplier langsung mencukupi kekurangan tersebut</t>
  </si>
  <si>
    <t>Bisa order dadakan</t>
  </si>
  <si>
    <t>Pak Budi</t>
  </si>
  <si>
    <t>Jeruk datang sesuai standar</t>
  </si>
  <si>
    <t>Quantity yang datang sering kali lebih dari order</t>
  </si>
  <si>
    <t>Pengiriman selalu tidak sesuai waktu lead time (06.00-07.30)</t>
  </si>
  <si>
    <t>Harga bisa bersaing dengan supplier lain</t>
  </si>
  <si>
    <t>Udang BB (Fanami)</t>
  </si>
  <si>
    <t>Udang datang sesuai standar</t>
  </si>
  <si>
    <t>Quantity yang datang sesuai dengan orderan</t>
  </si>
  <si>
    <t>Pengiriman selalu tidak sesuai lead time (09.00-12.00)</t>
  </si>
  <si>
    <t>Harga lebih rendah dari supplier lain</t>
  </si>
  <si>
    <t>Supplier menerima kritik dan saran, fast respon</t>
  </si>
  <si>
    <t>Jika Stocknya ada bisa langsung kirim</t>
  </si>
  <si>
    <t>Tempo 30 hari</t>
  </si>
  <si>
    <t>Pengiriman sesuai lead time (09.00-12.00)</t>
  </si>
  <si>
    <t>AHA Mulya</t>
  </si>
  <si>
    <t>Ayam Pejantan</t>
  </si>
  <si>
    <t xml:space="preserve">Ayam defect kecil &amp; patah </t>
  </si>
  <si>
    <t>Quantity yang datang kurang dari yang di order (Karna beberapa di return)</t>
  </si>
  <si>
    <t>Pengiriman sesuai lead time (10.00-12.00)</t>
  </si>
  <si>
    <t>Setelah komparasi harga, harganya lebih rendah</t>
  </si>
  <si>
    <t>Tempo 7 hari</t>
  </si>
  <si>
    <t>Redjo Mitra</t>
  </si>
  <si>
    <t>Description</t>
  </si>
  <si>
    <t>Quantity</t>
  </si>
  <si>
    <t>Quantity Received</t>
  </si>
  <si>
    <t>Pengiriman selalu  tidak sesuai lead time (10.00-12.00)</t>
  </si>
  <si>
    <t>Kualitas sesuai standard mapan</t>
  </si>
  <si>
    <t>Quantity kedatangan sudah sesuain bahkan selalu lebih</t>
  </si>
  <si>
    <t>Pengiriman beberapa kali tidak sesuai lead time (10.00-12.00)</t>
  </si>
  <si>
    <t>Supplier Tunggal</t>
  </si>
  <si>
    <t>Fast respon</t>
  </si>
  <si>
    <t>Sangat fleksibel</t>
  </si>
  <si>
    <t>Tempo 1 hari</t>
  </si>
  <si>
    <t>Datang sesuai standard mapan</t>
  </si>
  <si>
    <t>Beberapa barang yang datang quantity nya kurang</t>
  </si>
  <si>
    <t>Beberapa kali tidak sesuai lead time (06.00-07.00)</t>
  </si>
  <si>
    <t>Harga rata sama</t>
  </si>
  <si>
    <t>Mitra Pangan Handijaya</t>
  </si>
  <si>
    <t>Beberapa otot banyak dikembalikan karena ada bulunya</t>
  </si>
  <si>
    <t>Beberapa kali pengiriman otot frozen kurang</t>
  </si>
  <si>
    <t>Pengiriman tidak sesuai lead time (08.00-12.00)</t>
  </si>
  <si>
    <t>Harga lebih rendah dari yang lainnya</t>
  </si>
  <si>
    <t>fillet ayam</t>
  </si>
  <si>
    <t>Quantity datang seringkali lebih dari quantity order</t>
  </si>
  <si>
    <t>Sesuai lead time (08.00-12.00)</t>
  </si>
  <si>
    <t>Efran Berkat Aditama</t>
  </si>
  <si>
    <t>Ciomas/ Japfa</t>
  </si>
  <si>
    <t>Fillet paha berubah warna jadi kebiruan, dikembalikan semua</t>
  </si>
  <si>
    <t xml:space="preserve">Ayam  fillet Paha </t>
  </si>
  <si>
    <t>Quantity datang seringkali sesuai dari quantity order</t>
  </si>
  <si>
    <t>Kulit Ayam Mentah</t>
  </si>
  <si>
    <t>Ayam F. Paha Kulit (KG)</t>
  </si>
  <si>
    <t>Slow  respon</t>
  </si>
  <si>
    <t>Tempo 30 Hari</t>
  </si>
  <si>
    <t xml:space="preserve">Ayam  fillet dada </t>
  </si>
  <si>
    <t>Ayam Karkas ( uk. 900-1200gr )</t>
  </si>
  <si>
    <t>Pak Trio 'Atok Keputran"</t>
  </si>
  <si>
    <t>Seusuai dengan standard</t>
  </si>
  <si>
    <t>Beberapa kali pengiriman quantity nya kurang</t>
  </si>
  <si>
    <t>Sesuai lead time (06.00-07.30)</t>
  </si>
  <si>
    <t>2 Hari</t>
  </si>
  <si>
    <t>Telur ayam datang sesuai standar</t>
  </si>
  <si>
    <t>Pengiriman tidak  sesuai lead time (12.00-14.00)</t>
  </si>
  <si>
    <t>Telur datang sesuai standart mapan</t>
  </si>
  <si>
    <t>Pengiriman sesuai dengan lead time</t>
  </si>
  <si>
    <t>Daging Kandang</t>
  </si>
  <si>
    <t>UD Yasar</t>
  </si>
  <si>
    <t>01 Mei 2026 - 31 Mei 2026</t>
  </si>
  <si>
    <t>01 Juni 2026 - 30 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</si>
</sst>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\-mmm\-yy"/>
    <numFmt numFmtId="165" formatCode="mm/dd/yy"/>
    <numFmt numFmtId="166" formatCode="hh:mm:ss\ AM/PM"/>
    <numFmt numFmtId="167" formatCode="_-* #,##0_-;\-* #,##0_-;_-* \-_-;_-@_-"/>
    <numFmt numFmtId="168" formatCode="[$-F400]h:mm:ss\ AM/PM"/>
  </numFmts>
  <fonts count="16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0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7"/>
      <color theme="1"/>
      <name val="Calibri"/>
      <family val="2"/>
      <charset val="1"/>
    </font>
    <font>
      <sz val="7"/>
      <color theme="1"/>
      <name val="Calibri"/>
      <family val="2"/>
      <charset val="1"/>
    </font>
    <font>
      <sz val="8"/>
      <color rgb="FF000000"/>
      <name val="Calibri"/>
      <family val="2"/>
      <charset val="1"/>
    </font>
    <font>
      <sz val="8"/>
      <name val="Calibri"/>
      <family val="2"/>
      <charset val="1"/>
    </font>
    <font>
      <sz val="8"/>
      <color rgb="FFFF0000"/>
      <name val="Calibri"/>
      <family val="2"/>
      <charset val="1"/>
    </font>
    <font>
      <b/>
      <sz val="8"/>
      <color theme="0"/>
      <name val="Calibri"/>
      <family val="2"/>
      <charset val="1"/>
    </font>
    <font>
      <sz val="9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name val="Arial"/>
      <charset val="1"/>
    </font>
    <font>
      <sz val="7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0C0C0"/>
        <bgColor rgb="FF99CCFF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thin">
        <color rgb="FFFFFFFF"/>
      </bottom>
      <diagonal/>
    </border>
    <border>
      <left style="hair">
        <color rgb="FFFFFFFF"/>
      </left>
      <right/>
      <top style="hair">
        <color rgb="FFFFFFFF"/>
      </top>
      <bottom style="thin">
        <color rgb="FFFFFFFF"/>
      </bottom>
      <diagonal/>
    </border>
    <border>
      <left/>
      <right style="hair">
        <color rgb="FFFFFFFF"/>
      </right>
      <top style="hair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4" fillId="0" borderId="0" applyBorder="0" applyProtection="0"/>
  </cellStyleXfs>
  <cellXfs count="119">
    <xf numFmtId="0" fontId="0" fillId="0" borderId="0" xfId="0"/>
    <xf numFmtId="0" fontId="0" fillId="0" borderId="2" xfId="0" applyBorder="1"/>
    <xf numFmtId="165" fontId="7" fillId="0" borderId="2" xfId="0" applyNumberFormat="1" applyFont="1" applyBorder="1"/>
    <xf numFmtId="0" fontId="7" fillId="0" borderId="2" xfId="0" applyFont="1" applyBorder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left" wrapText="1"/>
    </xf>
    <xf numFmtId="19" fontId="4" fillId="0" borderId="0" xfId="0" applyNumberFormat="1" applyFont="1"/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/>
    </xf>
    <xf numFmtId="166" fontId="7" fillId="0" borderId="2" xfId="0" applyNumberFormat="1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4" fillId="0" borderId="1" xfId="0" applyFont="1" applyBorder="1"/>
    <xf numFmtId="0" fontId="4" fillId="0" borderId="5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4" fillId="0" borderId="0" xfId="0" applyNumberFormat="1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left" wrapText="1"/>
    </xf>
    <xf numFmtId="19" fontId="4" fillId="0" borderId="1" xfId="0" applyNumberFormat="1" applyFont="1" applyBorder="1"/>
    <xf numFmtId="164" fontId="8" fillId="0" borderId="0" xfId="0" applyNumberFormat="1" applyFont="1" applyAlignment="1">
      <alignment horizontal="left" wrapText="1"/>
    </xf>
    <xf numFmtId="19" fontId="8" fillId="0" borderId="0" xfId="0" applyNumberFormat="1" applyFont="1" applyAlignment="1">
      <alignment horizontal="right" wrapText="1"/>
    </xf>
    <xf numFmtId="0" fontId="8" fillId="0" borderId="0" xfId="0" applyFont="1" applyAlignment="1">
      <alignment horizontal="right" wrapText="1"/>
    </xf>
    <xf numFmtId="167" fontId="4" fillId="0" borderId="0" xfId="0" applyNumberFormat="1" applyFont="1"/>
    <xf numFmtId="0" fontId="0" fillId="0" borderId="0" xfId="0" applyAlignment="1">
      <alignment vertical="center"/>
    </xf>
    <xf numFmtId="167" fontId="4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left" wrapText="1"/>
    </xf>
    <xf numFmtId="19" fontId="9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right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9" fontId="10" fillId="0" borderId="0" xfId="0" applyNumberFormat="1" applyFont="1"/>
    <xf numFmtId="0" fontId="0" fillId="0" borderId="0" xfId="0" applyAlignment="1">
      <alignment horizontal="center" vertical="center"/>
    </xf>
    <xf numFmtId="49" fontId="11" fillId="3" borderId="0" xfId="0" applyNumberFormat="1" applyFont="1" applyFill="1"/>
    <xf numFmtId="0" fontId="4" fillId="0" borderId="1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left" wrapText="1"/>
    </xf>
    <xf numFmtId="19" fontId="4" fillId="0" borderId="6" xfId="0" applyNumberFormat="1" applyFont="1" applyBorder="1"/>
    <xf numFmtId="49" fontId="4" fillId="4" borderId="0" xfId="0" applyNumberFormat="1" applyFont="1" applyFill="1"/>
    <xf numFmtId="4" fontId="4" fillId="4" borderId="0" xfId="0" applyNumberFormat="1" applyFont="1" applyFill="1"/>
    <xf numFmtId="4" fontId="10" fillId="4" borderId="0" xfId="0" applyNumberFormat="1" applyFont="1" applyFill="1"/>
    <xf numFmtId="164" fontId="4" fillId="0" borderId="7" xfId="0" applyNumberFormat="1" applyFont="1" applyBorder="1" applyAlignment="1">
      <alignment horizontal="left" wrapText="1"/>
    </xf>
    <xf numFmtId="19" fontId="12" fillId="0" borderId="7" xfId="0" applyNumberFormat="1" applyFont="1" applyBorder="1"/>
    <xf numFmtId="49" fontId="4" fillId="0" borderId="0" xfId="0" applyNumberFormat="1" applyFont="1"/>
    <xf numFmtId="4" fontId="4" fillId="0" borderId="0" xfId="0" applyNumberFormat="1" applyFont="1"/>
    <xf numFmtId="4" fontId="10" fillId="0" borderId="0" xfId="0" applyNumberFormat="1" applyFont="1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49" fontId="11" fillId="3" borderId="8" xfId="0" applyNumberFormat="1" applyFont="1" applyFill="1" applyBorder="1"/>
    <xf numFmtId="49" fontId="4" fillId="4" borderId="8" xfId="0" applyNumberFormat="1" applyFont="1" applyFill="1" applyBorder="1"/>
    <xf numFmtId="4" fontId="4" fillId="4" borderId="8" xfId="0" applyNumberFormat="1" applyFont="1" applyFill="1" applyBorder="1"/>
    <xf numFmtId="4" fontId="10" fillId="4" borderId="8" xfId="0" applyNumberFormat="1" applyFont="1" applyFill="1" applyBorder="1"/>
    <xf numFmtId="49" fontId="4" fillId="0" borderId="8" xfId="0" applyNumberFormat="1" applyFont="1" applyBorder="1"/>
    <xf numFmtId="4" fontId="4" fillId="0" borderId="8" xfId="0" applyNumberFormat="1" applyFont="1" applyBorder="1"/>
    <xf numFmtId="4" fontId="10" fillId="0" borderId="8" xfId="0" applyNumberFormat="1" applyFont="1" applyBorder="1"/>
    <xf numFmtId="0" fontId="0" fillId="0" borderId="0" xfId="0" applyAlignment="1">
      <alignment wrapText="1"/>
    </xf>
    <xf numFmtId="19" fontId="4" fillId="0" borderId="7" xfId="0" applyNumberFormat="1" applyFont="1" applyBorder="1"/>
    <xf numFmtId="0" fontId="5" fillId="0" borderId="0" xfId="0" applyFont="1" applyAlignment="1">
      <alignment horizontal="center" wrapText="1"/>
    </xf>
    <xf numFmtId="0" fontId="5" fillId="0" borderId="0" xfId="0" applyFont="1"/>
    <xf numFmtId="168" fontId="4" fillId="0" borderId="0" xfId="0" applyNumberFormat="1" applyFont="1" applyAlignment="1">
      <alignment vertical="center"/>
    </xf>
    <xf numFmtId="168" fontId="4" fillId="0" borderId="0" xfId="0" applyNumberFormat="1" applyFont="1"/>
    <xf numFmtId="165" fontId="0" fillId="0" borderId="2" xfId="0" applyNumberFormat="1" applyBorder="1"/>
    <xf numFmtId="0" fontId="0" fillId="0" borderId="3" xfId="0" applyBorder="1" applyAlignment="1">
      <alignment horizontal="center"/>
    </xf>
    <xf numFmtId="166" fontId="0" fillId="0" borderId="2" xfId="0" applyNumberFormat="1" applyBorder="1" applyAlignment="1">
      <alignment horizontal="right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4" fontId="4" fillId="0" borderId="0" xfId="0" applyNumberFormat="1" applyFont="1" applyAlignment="1">
      <alignment horizontal="center"/>
    </xf>
    <xf numFmtId="49" fontId="3" fillId="0" borderId="8" xfId="0" applyNumberFormat="1" applyFont="1" applyBorder="1"/>
    <xf numFmtId="49" fontId="0" fillId="0" borderId="8" xfId="0" applyNumberFormat="1" applyBorder="1"/>
    <xf numFmtId="4" fontId="0" fillId="0" borderId="8" xfId="0" applyNumberFormat="1" applyBorder="1"/>
    <xf numFmtId="164" fontId="4" fillId="0" borderId="10" xfId="0" applyNumberFormat="1" applyFont="1" applyBorder="1" applyAlignment="1">
      <alignment horizontal="left" wrapText="1"/>
    </xf>
    <xf numFmtId="19" fontId="4" fillId="0" borderId="10" xfId="0" applyNumberFormat="1" applyFont="1" applyBorder="1"/>
    <xf numFmtId="0" fontId="13" fillId="0" borderId="0" xfId="0" applyFont="1"/>
    <xf numFmtId="0" fontId="4" fillId="0" borderId="0" xfId="0" applyFont="1" applyAlignment="1">
      <alignment horizontal="center" wrapText="1"/>
    </xf>
    <xf numFmtId="2" fontId="4" fillId="0" borderId="0" xfId="0" applyNumberFormat="1" applyFont="1" applyAlignment="1">
      <alignment horizontal="center"/>
    </xf>
    <xf numFmtId="164" fontId="4" fillId="0" borderId="5" xfId="0" applyNumberFormat="1" applyFont="1" applyBorder="1" applyAlignment="1">
      <alignment horizontal="left" wrapText="1"/>
    </xf>
    <xf numFmtId="19" fontId="4" fillId="0" borderId="5" xfId="0" applyNumberFormat="1" applyFont="1" applyBorder="1"/>
    <xf numFmtId="9" fontId="15" fillId="0" borderId="3" xfId="1" applyFont="1" applyBorder="1" applyAlignment="1">
      <alignment horizontal="center"/>
    </xf>
    <xf numFmtId="4" fontId="0" fillId="0" borderId="0" xfId="0" applyNumberFormat="1"/>
    <xf numFmtId="9" fontId="14" fillId="0" borderId="0" xfId="1" applyBorder="1" applyProtection="1"/>
    <xf numFmtId="0" fontId="4" fillId="0" borderId="9" xfId="0" applyFont="1" applyBorder="1"/>
    <xf numFmtId="19" fontId="12" fillId="0" borderId="0" xfId="0" applyNumberFormat="1" applyFont="1"/>
    <xf numFmtId="167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7" fillId="0" borderId="2" xfId="0" applyFont="1" applyBorder="1"/>
    <xf numFmtId="165" fontId="7" fillId="0" borderId="2" xfId="0" applyNumberFormat="1" applyFont="1" applyBorder="1"/>
    <xf numFmtId="0" fontId="0" fillId="0" borderId="2" xfId="0" applyBorder="1"/>
  </cellXfs>
  <cellStyles count="2">
    <cellStyle name="Normal" xfId="0" builtinId="0"/>
    <cellStyle name="Percent" xfId="1" builtinId="5"/>
  </cellStyles>
  <dxfs count="72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136440</xdr:colOff>
      <xdr:row>0</xdr:row>
      <xdr:rowOff>16920</xdr:rowOff>
    </xdr:from>
    <xdr:to>
      <xdr:col>0</xdr:col>
      <xdr:colOff>1334520</xdr:colOff>
      <xdr:row>2</xdr:row>
      <xdr:rowOff>119160</xdr:rowOff>
    </xdr:to>
    <xdr:pic>
      <xdr:nvPicPr>
        <xdr:cNvPr id="2" name="Picture 1" descr="MapanGrup2023-0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440" y="16920"/>
          <a:ext cx="1198080" cy="45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136440</xdr:colOff>
      <xdr:row>0</xdr:row>
      <xdr:rowOff>16920</xdr:rowOff>
    </xdr:from>
    <xdr:to>
      <xdr:col>0</xdr:col>
      <xdr:colOff>1334520</xdr:colOff>
      <xdr:row>3</xdr:row>
      <xdr:rowOff>9000</xdr:rowOff>
    </xdr:to>
    <xdr:pic>
      <xdr:nvPicPr>
        <xdr:cNvPr id="2" name="Picture 1" descr="MapanGrup2023-0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440" y="16920"/>
          <a:ext cx="1198080" cy="45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136440</xdr:colOff>
      <xdr:row>0</xdr:row>
      <xdr:rowOff>16920</xdr:rowOff>
    </xdr:from>
    <xdr:to>
      <xdr:col>0</xdr:col>
      <xdr:colOff>1334520</xdr:colOff>
      <xdr:row>3</xdr:row>
      <xdr:rowOff>9000</xdr:rowOff>
    </xdr:to>
    <xdr:pic>
      <xdr:nvPicPr>
        <xdr:cNvPr id="2" name="Picture 1" descr="MapanGrup2023-0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440" y="16920"/>
          <a:ext cx="1198080" cy="45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136440</xdr:colOff>
      <xdr:row>0</xdr:row>
      <xdr:rowOff>16920</xdr:rowOff>
    </xdr:from>
    <xdr:to>
      <xdr:col>0</xdr:col>
      <xdr:colOff>1334520</xdr:colOff>
      <xdr:row>2</xdr:row>
      <xdr:rowOff>119520</xdr:rowOff>
    </xdr:to>
    <xdr:pic>
      <xdr:nvPicPr>
        <xdr:cNvPr id="3" name="Picture 1" descr="MapanGrup2023-0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440" y="1692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136440</xdr:colOff>
      <xdr:row>0</xdr:row>
      <xdr:rowOff>16920</xdr:rowOff>
    </xdr:from>
    <xdr:to>
      <xdr:col>0</xdr:col>
      <xdr:colOff>1334520</xdr:colOff>
      <xdr:row>2</xdr:row>
      <xdr:rowOff>119520</xdr:rowOff>
    </xdr:to>
    <xdr:pic>
      <xdr:nvPicPr>
        <xdr:cNvPr id="4" name="Picture 1" descr="MapanGrup2023-0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440" y="1692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168480</xdr:colOff>
      <xdr:row>0</xdr:row>
      <xdr:rowOff>59400</xdr:rowOff>
    </xdr:from>
    <xdr:to>
      <xdr:col>0</xdr:col>
      <xdr:colOff>1366560</xdr:colOff>
      <xdr:row>2</xdr:row>
      <xdr:rowOff>162000</xdr:rowOff>
    </xdr:to>
    <xdr:pic>
      <xdr:nvPicPr>
        <xdr:cNvPr id="5" name="Picture 1" descr="MapanGrup2023-0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480" y="5940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168480</xdr:colOff>
      <xdr:row>0</xdr:row>
      <xdr:rowOff>59400</xdr:rowOff>
    </xdr:from>
    <xdr:to>
      <xdr:col>0</xdr:col>
      <xdr:colOff>1366560</xdr:colOff>
      <xdr:row>2</xdr:row>
      <xdr:rowOff>162000</xdr:rowOff>
    </xdr:to>
    <xdr:pic>
      <xdr:nvPicPr>
        <xdr:cNvPr id="6" name="Picture 1" descr="MapanGrup2023-02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8480" y="5940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2</xdr:row>
      <xdr:rowOff>140760</xdr:rowOff>
    </xdr:to>
    <xdr:pic>
      <xdr:nvPicPr>
        <xdr:cNvPr id="7" name="Picture 1" descr="MapanGrup2023-02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3</xdr:row>
      <xdr:rowOff>1800</xdr:rowOff>
    </xdr:to>
    <xdr:pic>
      <xdr:nvPicPr>
        <xdr:cNvPr id="8" name="Picture 1" descr="MapanGrup2023-02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8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3</xdr:row>
      <xdr:rowOff>1800</xdr:rowOff>
    </xdr:to>
    <xdr:pic>
      <xdr:nvPicPr>
        <xdr:cNvPr id="2" name="Picture 1" descr="MapanGrup2023-02">
          <a:extLst>
            <a:ext uri="{FF2B5EF4-FFF2-40B4-BE49-F238E27FC236}">
              <a16:creationId xmlns:a16="http://schemas.microsoft.com/office/drawing/2014/main" id="{CC3645AB-791A-4610-9532-2C78BDC5A9C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84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3</xdr:row>
      <xdr:rowOff>1800</xdr:rowOff>
    </xdr:to>
    <xdr:pic>
      <xdr:nvPicPr>
        <xdr:cNvPr id="2" name="Picture 1" descr="MapanGrup2023-02">
          <a:extLst>
            <a:ext uri="{FF2B5EF4-FFF2-40B4-BE49-F238E27FC236}">
              <a16:creationId xmlns:a16="http://schemas.microsoft.com/office/drawing/2014/main" id="{762C9733-B63E-415E-95C4-4F700DA0C5D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84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2</xdr:row>
      <xdr:rowOff>140760</xdr:rowOff>
    </xdr:to>
    <xdr:pic>
      <xdr:nvPicPr>
        <xdr:cNvPr id="9" name="Picture 1" descr="MapanGrup2023-02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2</xdr:row>
      <xdr:rowOff>140760</xdr:rowOff>
    </xdr:to>
    <xdr:pic>
      <xdr:nvPicPr>
        <xdr:cNvPr id="10" name="Picture 1" descr="MapanGrup2023-02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2</xdr:row>
      <xdr:rowOff>140760</xdr:rowOff>
    </xdr:to>
    <xdr:pic>
      <xdr:nvPicPr>
        <xdr:cNvPr id="11" name="Picture 1" descr="MapanGrup2023-02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2</xdr:row>
      <xdr:rowOff>140760</xdr:rowOff>
    </xdr:to>
    <xdr:pic>
      <xdr:nvPicPr>
        <xdr:cNvPr id="12" name="Picture 1" descr="MapanGrup2023-02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254160</xdr:colOff>
      <xdr:row>0</xdr:row>
      <xdr:rowOff>38160</xdr:rowOff>
    </xdr:from>
    <xdr:to>
      <xdr:col>0</xdr:col>
      <xdr:colOff>1452240</xdr:colOff>
      <xdr:row>2</xdr:row>
      <xdr:rowOff>140760</xdr:rowOff>
    </xdr:to>
    <xdr:pic>
      <xdr:nvPicPr>
        <xdr:cNvPr id="13" name="Picture 1" descr="MapanGrup2023-0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54160" y="38160"/>
          <a:ext cx="1198080" cy="464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136440</xdr:colOff>
      <xdr:row>0</xdr:row>
      <xdr:rowOff>16920</xdr:rowOff>
    </xdr:from>
    <xdr:to>
      <xdr:col>0</xdr:col>
      <xdr:colOff>1334520</xdr:colOff>
      <xdr:row>3</xdr:row>
      <xdr:rowOff>9000</xdr:rowOff>
    </xdr:to>
    <xdr:pic>
      <xdr:nvPicPr>
        <xdr:cNvPr id="14" name="Picture 1" descr="MapanGrup2023-02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440" y="16920"/>
          <a:ext cx="1198080" cy="45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136440</xdr:colOff>
      <xdr:row>0</xdr:row>
      <xdr:rowOff>16920</xdr:rowOff>
    </xdr:from>
    <xdr:to>
      <xdr:col>0</xdr:col>
      <xdr:colOff>1334520</xdr:colOff>
      <xdr:row>3</xdr:row>
      <xdr:rowOff>9000</xdr:rowOff>
    </xdr:to>
    <xdr:pic>
      <xdr:nvPicPr>
        <xdr:cNvPr id="15" name="Picture 1" descr="MapanGrup2023-02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36440" y="16920"/>
          <a:ext cx="1198080" cy="458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8"/>
  <sheetViews>
    <sheetView showGridLines="0" tabSelected="1" zoomScale="89" zoomScaleNormal="89" workbookViewId="0">
      <selection activeCell="K12" sqref="K12"/>
    </sheetView>
  </sheetViews>
  <sheetFormatPr defaultColWidth="8.7109375" defaultRowHeight="15" x14ac:dyDescent="0.25"/>
  <cols>
    <col min="1" max="1" width="2.140625" customWidth="1"/>
    <col min="2" max="2" width="7.140625" customWidth="1"/>
    <col min="3" max="3" width="18.28515625" customWidth="1"/>
    <col min="4" max="4" width="23.5703125" customWidth="1"/>
    <col min="5" max="5" width="8.140625" customWidth="1"/>
    <col min="6" max="6" width="12.85546875" customWidth="1"/>
    <col min="7" max="7" width="5.140625" customWidth="1"/>
  </cols>
  <sheetData>
    <row r="1" spans="2:6" ht="9" customHeight="1" x14ac:dyDescent="0.25"/>
    <row r="2" spans="2:6" ht="15" customHeight="1" x14ac:dyDescent="0.25">
      <c r="B2" s="107" t="s">
        <v>0</v>
      </c>
      <c r="C2" s="107"/>
      <c r="D2" s="107"/>
      <c r="E2" s="107"/>
      <c r="F2" s="107"/>
    </row>
    <row r="3" spans="2:6" ht="10.5" customHeight="1" x14ac:dyDescent="0.25">
      <c r="B3" s="9"/>
      <c r="C3" s="9"/>
      <c r="D3" s="9"/>
      <c r="E3" s="9"/>
      <c r="F3" s="9"/>
    </row>
    <row r="4" spans="2:6" ht="30" x14ac:dyDescent="0.25"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</row>
    <row r="5" spans="2:6" x14ac:dyDescent="0.25">
      <c r="B5" s="11">
        <v>1</v>
      </c>
      <c r="C5" s="11" t="s">
        <v>6</v>
      </c>
      <c r="D5" s="11" t="s">
        <v>7</v>
      </c>
      <c r="E5" s="12">
        <f>'Bu Fatim'!D17</f>
        <v>3.95</v>
      </c>
      <c r="F5" s="11" t="str">
        <f>'Bu Fatim'!E17</f>
        <v>Excellent</v>
      </c>
    </row>
    <row r="6" spans="2:6" x14ac:dyDescent="0.25">
      <c r="B6" s="11">
        <v>2</v>
      </c>
      <c r="C6" s="11" t="s">
        <v>8</v>
      </c>
      <c r="D6" s="11" t="s">
        <v>7</v>
      </c>
      <c r="E6" s="12">
        <f>'UD. Hasil Bumi'!D17</f>
        <v>4</v>
      </c>
      <c r="F6" s="11" t="str">
        <f>'UD. Hasil Bumi'!E17</f>
        <v>Excellent</v>
      </c>
    </row>
    <row r="7" spans="2:6" x14ac:dyDescent="0.25">
      <c r="B7" s="11">
        <v>3</v>
      </c>
      <c r="C7" s="11" t="s">
        <v>9</v>
      </c>
      <c r="D7" s="11" t="s">
        <v>10</v>
      </c>
      <c r="E7" s="12">
        <f>'Pak Budi Jeruk'!D17</f>
        <v>3.55</v>
      </c>
      <c r="F7" s="11" t="str">
        <f>'Pak Budi Jeruk'!E17</f>
        <v>Good</v>
      </c>
    </row>
    <row r="8" spans="2:6" x14ac:dyDescent="0.25">
      <c r="B8" s="11">
        <v>4</v>
      </c>
      <c r="C8" s="11" t="s">
        <v>11</v>
      </c>
      <c r="D8" s="11" t="s">
        <v>12</v>
      </c>
      <c r="E8" s="12">
        <f>'AM Seafood'!D17</f>
        <v>3.35</v>
      </c>
      <c r="F8" s="11" t="str">
        <f>'AM Seafood'!E17</f>
        <v>Good</v>
      </c>
    </row>
    <row r="9" spans="2:6" x14ac:dyDescent="0.25">
      <c r="B9" s="11">
        <v>5</v>
      </c>
      <c r="C9" s="11" t="s">
        <v>13</v>
      </c>
      <c r="D9" s="11" t="s">
        <v>14</v>
      </c>
      <c r="E9" s="12">
        <f>'Bakoelan Udang'!D17</f>
        <v>3.75</v>
      </c>
      <c r="F9" s="12" t="str">
        <f>'Bakoelan Udang'!E17</f>
        <v>Excellent</v>
      </c>
    </row>
    <row r="10" spans="2:6" x14ac:dyDescent="0.25">
      <c r="B10" s="11">
        <v>6</v>
      </c>
      <c r="C10" s="11" t="s">
        <v>15</v>
      </c>
      <c r="D10" s="11" t="s">
        <v>16</v>
      </c>
      <c r="E10" s="12">
        <f>'Mie Kapasan'!D17</f>
        <v>3.9</v>
      </c>
      <c r="F10" s="11" t="str">
        <f>'Mie Kapasan'!E17</f>
        <v>Excellent</v>
      </c>
    </row>
    <row r="11" spans="2:6" ht="30" x14ac:dyDescent="0.25">
      <c r="B11" s="11">
        <v>7</v>
      </c>
      <c r="C11" s="11" t="s">
        <v>17</v>
      </c>
      <c r="D11" s="11" t="s">
        <v>18</v>
      </c>
      <c r="E11" s="12">
        <f>'Umi Rosyid'!D17</f>
        <v>2.85</v>
      </c>
      <c r="F11" s="106" t="str">
        <f>'Umi Rosyid'!E17</f>
        <v>Poor</v>
      </c>
    </row>
    <row r="12" spans="2:6" ht="30" x14ac:dyDescent="0.25">
      <c r="B12" s="11">
        <v>8</v>
      </c>
      <c r="C12" s="11" t="s">
        <v>145</v>
      </c>
      <c r="D12" s="11" t="s">
        <v>18</v>
      </c>
      <c r="E12" s="12">
        <f>'Daging Kandang'!D17</f>
        <v>3.45</v>
      </c>
      <c r="F12" s="11" t="str">
        <f>'Daging Kandang'!E17</f>
        <v>Good</v>
      </c>
    </row>
    <row r="13" spans="2:6" ht="30" x14ac:dyDescent="0.25">
      <c r="B13" s="11">
        <v>10</v>
      </c>
      <c r="C13" s="11" t="s">
        <v>19</v>
      </c>
      <c r="D13" s="11" t="s">
        <v>20</v>
      </c>
      <c r="E13" s="12">
        <f>'Mitra Pangan Handijaya'!D17</f>
        <v>3.15</v>
      </c>
      <c r="F13" s="11" t="str">
        <f>'Mitra Pangan Handijaya'!E17</f>
        <v>Good</v>
      </c>
    </row>
    <row r="14" spans="2:6" ht="30" x14ac:dyDescent="0.25">
      <c r="B14" s="11">
        <v>11</v>
      </c>
      <c r="C14" s="11" t="s">
        <v>21</v>
      </c>
      <c r="D14" s="11" t="s">
        <v>22</v>
      </c>
      <c r="E14" s="12">
        <f>'Blessing Chicken '!D17</f>
        <v>3.95</v>
      </c>
      <c r="F14" s="11" t="str">
        <f>'Blessing Chicken '!E17</f>
        <v>Excellent</v>
      </c>
    </row>
    <row r="15" spans="2:6" ht="60" x14ac:dyDescent="0.25">
      <c r="B15" s="11">
        <v>12</v>
      </c>
      <c r="C15" s="11" t="s">
        <v>23</v>
      </c>
      <c r="D15" s="11" t="s">
        <v>24</v>
      </c>
      <c r="E15" s="13">
        <f>Efran!D17</f>
        <v>3.95</v>
      </c>
      <c r="F15" s="14" t="str">
        <f>Efran!E17</f>
        <v>Excellent</v>
      </c>
    </row>
    <row r="16" spans="2:6" x14ac:dyDescent="0.25">
      <c r="B16" s="11">
        <v>13</v>
      </c>
      <c r="C16" s="11" t="s">
        <v>25</v>
      </c>
      <c r="D16" s="14" t="s">
        <v>26</v>
      </c>
      <c r="E16" s="13">
        <f>'Pak Trio'!D17</f>
        <v>3.45</v>
      </c>
      <c r="F16" s="14" t="str">
        <f>'Pak Trio'!E17</f>
        <v>Good</v>
      </c>
    </row>
    <row r="17" spans="2:7" x14ac:dyDescent="0.25">
      <c r="B17" s="11">
        <v>14</v>
      </c>
      <c r="C17" s="11" t="s">
        <v>27</v>
      </c>
      <c r="D17" s="11" t="s">
        <v>28</v>
      </c>
      <c r="E17" s="13">
        <f>'Anugrah Telur'!D17</f>
        <v>3.8</v>
      </c>
      <c r="F17" s="13" t="str">
        <f>'Anugrah Telur'!E17</f>
        <v>Excellent</v>
      </c>
      <c r="G17" s="15"/>
    </row>
    <row r="18" spans="2:7" x14ac:dyDescent="0.25">
      <c r="B18" s="11">
        <v>15</v>
      </c>
      <c r="C18" s="11" t="s">
        <v>29</v>
      </c>
      <c r="D18" s="11" t="s">
        <v>28</v>
      </c>
      <c r="E18" s="13">
        <f>'Sumber Rejeki'!D17</f>
        <v>3.95</v>
      </c>
      <c r="F18" s="13" t="str">
        <f>'Sumber Rejeki'!E17</f>
        <v>Excellent</v>
      </c>
    </row>
  </sheetData>
  <mergeCells count="1">
    <mergeCell ref="B2:F2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topLeftCell="B1" zoomScale="89" zoomScaleNormal="89" workbookViewId="0">
      <selection activeCell="B6" sqref="B6:E6"/>
    </sheetView>
  </sheetViews>
  <sheetFormatPr defaultColWidth="8.7109375" defaultRowHeight="11.25" x14ac:dyDescent="0.2"/>
  <cols>
    <col min="1" max="1" width="24.140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66.7109375" style="16" customWidth="1"/>
    <col min="6" max="6" width="12.140625" style="16" customWidth="1"/>
    <col min="7" max="7" width="8.42578125" style="8" customWidth="1"/>
    <col min="8" max="8" width="10.140625" style="16" customWidth="1"/>
    <col min="9" max="9" width="8.7109375" style="16"/>
    <col min="10" max="10" width="5.42578125" style="16" customWidth="1"/>
    <col min="11" max="16384" width="8.7109375" style="16"/>
  </cols>
  <sheetData>
    <row r="1" spans="1:16" s="19" customFormat="1" ht="14.25" customHeight="1" x14ac:dyDescent="0.2">
      <c r="A1" s="108"/>
      <c r="B1" s="109" t="s">
        <v>30</v>
      </c>
      <c r="C1" s="109"/>
      <c r="D1" s="109"/>
      <c r="E1" s="109"/>
      <c r="F1" s="7"/>
      <c r="G1" s="17"/>
      <c r="H1" s="18"/>
    </row>
    <row r="2" spans="1:16" s="19" customFormat="1" ht="15" x14ac:dyDescent="0.25">
      <c r="A2" s="108"/>
      <c r="B2" s="109"/>
      <c r="C2" s="109"/>
      <c r="D2" s="109"/>
      <c r="E2" s="109"/>
      <c r="F2" s="7"/>
      <c r="G2" s="17"/>
      <c r="H2" s="18"/>
      <c r="I2"/>
      <c r="J2"/>
      <c r="K2"/>
      <c r="L2"/>
      <c r="M2"/>
      <c r="N2"/>
      <c r="O2"/>
    </row>
    <row r="3" spans="1:16" s="19" customFormat="1" ht="15" x14ac:dyDescent="0.25">
      <c r="A3" s="108"/>
      <c r="B3" s="109"/>
      <c r="C3" s="109"/>
      <c r="D3" s="109"/>
      <c r="E3" s="109"/>
      <c r="F3" s="7"/>
      <c r="G3" s="17"/>
      <c r="H3" s="18"/>
      <c r="I3"/>
      <c r="J3"/>
      <c r="K3"/>
      <c r="L3"/>
      <c r="M3"/>
      <c r="N3"/>
      <c r="O3"/>
    </row>
    <row r="4" spans="1:16" s="19" customFormat="1" ht="15" x14ac:dyDescent="0.25">
      <c r="A4" s="19" t="s">
        <v>31</v>
      </c>
      <c r="B4" s="108" t="s">
        <v>6</v>
      </c>
      <c r="C4" s="108"/>
      <c r="D4" s="108"/>
      <c r="E4" s="108"/>
      <c r="F4" s="8"/>
      <c r="G4" s="17"/>
      <c r="H4" s="18"/>
      <c r="I4"/>
      <c r="J4"/>
      <c r="K4"/>
      <c r="L4"/>
      <c r="M4"/>
      <c r="N4"/>
      <c r="O4"/>
    </row>
    <row r="5" spans="1:16" s="19" customFormat="1" ht="15" x14ac:dyDescent="0.25">
      <c r="A5" s="19" t="s">
        <v>32</v>
      </c>
      <c r="B5" s="108" t="s">
        <v>7</v>
      </c>
      <c r="C5" s="108"/>
      <c r="D5" s="108"/>
      <c r="E5" s="108"/>
      <c r="F5" s="8"/>
      <c r="G5" s="17"/>
      <c r="H5" s="18"/>
      <c r="I5"/>
      <c r="J5"/>
      <c r="K5"/>
      <c r="L5"/>
      <c r="M5"/>
      <c r="N5"/>
      <c r="O5"/>
    </row>
    <row r="6" spans="1:16" s="19" customFormat="1" ht="15" x14ac:dyDescent="0.25">
      <c r="A6" s="19" t="s">
        <v>33</v>
      </c>
      <c r="B6" s="108" t="s">
        <v>148</v>
      </c>
      <c r="C6" s="108"/>
      <c r="D6" s="108"/>
      <c r="E6" s="108"/>
      <c r="F6" s="8"/>
      <c r="G6" s="17"/>
      <c r="H6" s="18"/>
      <c r="I6"/>
      <c r="J6"/>
      <c r="K6"/>
      <c r="L6"/>
      <c r="M6"/>
      <c r="N6"/>
      <c r="O6"/>
    </row>
    <row r="7" spans="1:16" ht="15" x14ac:dyDescent="0.25">
      <c r="G7" s="17"/>
      <c r="H7" s="18"/>
      <c r="I7"/>
      <c r="J7"/>
      <c r="K7"/>
      <c r="L7"/>
      <c r="M7"/>
      <c r="N7"/>
      <c r="O7"/>
    </row>
    <row r="8" spans="1:16" ht="22.5" x14ac:dyDescent="0.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21"/>
      <c r="G8" s="17"/>
      <c r="H8" s="22"/>
      <c r="I8" s="22"/>
      <c r="J8" s="22"/>
      <c r="K8" s="22"/>
      <c r="L8" s="22"/>
      <c r="M8" s="22"/>
      <c r="N8" s="22"/>
      <c r="O8" s="22"/>
      <c r="P8" s="22"/>
    </row>
    <row r="9" spans="1:16" s="19" customFormat="1" x14ac:dyDescent="0.2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41</v>
      </c>
      <c r="F9" s="26"/>
      <c r="G9" s="17"/>
      <c r="H9" s="2"/>
      <c r="I9" s="3"/>
      <c r="J9" s="3"/>
      <c r="K9" s="27"/>
      <c r="L9" s="28"/>
      <c r="M9" s="28"/>
      <c r="N9" s="28"/>
      <c r="O9" s="29"/>
      <c r="P9" s="30"/>
    </row>
    <row r="10" spans="1:16" s="19" customFormat="1" x14ac:dyDescent="0.2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43</v>
      </c>
      <c r="F10" s="26"/>
      <c r="G10" s="17"/>
      <c r="H10" s="2"/>
      <c r="I10" s="3"/>
      <c r="J10" s="3"/>
      <c r="K10" s="27"/>
      <c r="L10" s="28"/>
      <c r="M10" s="28"/>
      <c r="N10" s="28"/>
      <c r="O10" s="29"/>
      <c r="P10" s="30"/>
    </row>
    <row r="11" spans="1:16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1" t="s">
        <v>46</v>
      </c>
      <c r="G11" s="17"/>
      <c r="H11" s="2"/>
      <c r="I11" s="3"/>
      <c r="J11" s="3"/>
      <c r="K11" s="27"/>
      <c r="L11" s="28"/>
      <c r="M11" s="28"/>
      <c r="N11" s="28"/>
      <c r="O11" s="29"/>
      <c r="P11" s="30"/>
    </row>
    <row r="12" spans="1:16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31" t="s">
        <v>48</v>
      </c>
      <c r="G12" s="17"/>
      <c r="H12" s="2"/>
      <c r="I12" s="3"/>
      <c r="J12" s="3"/>
      <c r="K12" s="27"/>
      <c r="L12" s="28"/>
      <c r="M12" s="28"/>
      <c r="N12" s="28"/>
      <c r="O12" s="29"/>
      <c r="P12" s="30"/>
    </row>
    <row r="13" spans="1:16" x14ac:dyDescent="0.2">
      <c r="A13" s="23" t="s">
        <v>49</v>
      </c>
      <c r="B13" s="6">
        <v>10</v>
      </c>
      <c r="C13" s="6">
        <v>4</v>
      </c>
      <c r="D13" s="6">
        <f t="shared" si="0"/>
        <v>40</v>
      </c>
      <c r="E13" s="31" t="s">
        <v>50</v>
      </c>
      <c r="G13" s="17"/>
      <c r="H13" s="2"/>
      <c r="I13" s="3"/>
      <c r="J13" s="3"/>
      <c r="K13" s="27"/>
      <c r="L13" s="28"/>
      <c r="M13" s="28"/>
      <c r="N13" s="28"/>
      <c r="O13" s="29"/>
      <c r="P13" s="30"/>
    </row>
    <row r="14" spans="1:16" x14ac:dyDescent="0.2">
      <c r="A14" s="31" t="s">
        <v>51</v>
      </c>
      <c r="B14" s="6">
        <v>5</v>
      </c>
      <c r="C14" s="6">
        <v>3</v>
      </c>
      <c r="D14" s="6">
        <f t="shared" si="0"/>
        <v>15</v>
      </c>
      <c r="E14" s="31" t="s">
        <v>52</v>
      </c>
      <c r="G14" s="17"/>
      <c r="H14" s="2"/>
      <c r="I14" s="3"/>
      <c r="J14" s="3"/>
      <c r="K14" s="27"/>
      <c r="L14" s="28"/>
      <c r="M14" s="28"/>
      <c r="N14" s="28"/>
      <c r="O14" s="29"/>
      <c r="P14" s="30"/>
    </row>
    <row r="15" spans="1:16" x14ac:dyDescent="0.2">
      <c r="A15" s="31" t="s">
        <v>53</v>
      </c>
      <c r="B15" s="6">
        <v>5</v>
      </c>
      <c r="C15" s="6">
        <v>4</v>
      </c>
      <c r="D15" s="6">
        <f t="shared" si="0"/>
        <v>20</v>
      </c>
      <c r="E15" s="31" t="s">
        <v>54</v>
      </c>
      <c r="G15" s="17"/>
      <c r="H15" s="2"/>
      <c r="I15" s="3"/>
      <c r="J15" s="3"/>
      <c r="K15" s="27"/>
      <c r="L15" s="28"/>
      <c r="M15" s="28"/>
      <c r="N15" s="28"/>
      <c r="O15" s="29"/>
      <c r="P15" s="30"/>
    </row>
    <row r="16" spans="1:16" hidden="1" x14ac:dyDescent="0.2">
      <c r="A16" s="32"/>
      <c r="B16" s="4">
        <f>SUM(B9:B15)</f>
        <v>100</v>
      </c>
      <c r="D16" s="4">
        <f>SUM(D9:D15)</f>
        <v>395</v>
      </c>
      <c r="G16" s="17"/>
      <c r="H16" s="2"/>
      <c r="I16" s="3"/>
      <c r="J16" s="3"/>
      <c r="K16" s="27"/>
      <c r="L16" s="28"/>
      <c r="M16" s="28"/>
      <c r="N16" s="28"/>
      <c r="O16" s="29"/>
      <c r="P16" s="30"/>
    </row>
    <row r="17" spans="1:16" x14ac:dyDescent="0.2">
      <c r="A17" s="111" t="s">
        <v>55</v>
      </c>
      <c r="B17" s="111"/>
      <c r="C17" s="111"/>
      <c r="D17" s="33">
        <f>D16/B16</f>
        <v>3.95</v>
      </c>
      <c r="E17" s="6" t="str">
        <f>IF(D17&gt;=3.7,"Excellent",IF(D17&gt;=3,"Good",IF(D17&lt;3,"Poor")))</f>
        <v>Excellent</v>
      </c>
      <c r="F17" s="4"/>
      <c r="G17" s="17"/>
      <c r="H17" s="2"/>
      <c r="I17" s="3"/>
      <c r="J17" s="3"/>
      <c r="K17" s="27"/>
      <c r="L17" s="28"/>
      <c r="M17" s="28"/>
      <c r="N17" s="28"/>
      <c r="O17" s="29"/>
      <c r="P17" s="30"/>
    </row>
    <row r="18" spans="1:16" x14ac:dyDescent="0.2">
      <c r="G18" s="17"/>
      <c r="H18" s="2"/>
      <c r="I18" s="3"/>
      <c r="J18" s="3"/>
      <c r="K18" s="27"/>
      <c r="L18" s="28"/>
      <c r="M18" s="28"/>
      <c r="N18" s="28"/>
      <c r="O18" s="29"/>
      <c r="P18" s="30"/>
    </row>
    <row r="19" spans="1:16" x14ac:dyDescent="0.2">
      <c r="A19" s="16" t="s">
        <v>56</v>
      </c>
      <c r="G19" s="17"/>
      <c r="H19" s="2"/>
      <c r="I19" s="3"/>
      <c r="J19" s="3"/>
      <c r="K19" s="27"/>
      <c r="L19" s="28"/>
      <c r="M19" s="28"/>
      <c r="N19" s="28"/>
      <c r="O19" s="29"/>
      <c r="P19" s="30"/>
    </row>
    <row r="20" spans="1:16" x14ac:dyDescent="0.2">
      <c r="A20" s="16" t="s">
        <v>57</v>
      </c>
      <c r="G20" s="17"/>
      <c r="H20" s="2"/>
      <c r="I20" s="3"/>
      <c r="J20" s="3"/>
      <c r="K20" s="27"/>
      <c r="L20" s="28"/>
      <c r="M20" s="28"/>
      <c r="N20" s="28"/>
      <c r="O20" s="29"/>
      <c r="P20" s="30"/>
    </row>
    <row r="21" spans="1:16" x14ac:dyDescent="0.2">
      <c r="A21" s="6" t="s">
        <v>58</v>
      </c>
      <c r="B21" s="6" t="s">
        <v>59</v>
      </c>
      <c r="G21" s="17"/>
      <c r="H21" s="2"/>
      <c r="I21" s="3"/>
      <c r="J21" s="3"/>
      <c r="K21" s="27"/>
      <c r="L21" s="28"/>
      <c r="M21" s="28"/>
      <c r="N21" s="28"/>
      <c r="O21" s="29"/>
      <c r="P21" s="30"/>
    </row>
    <row r="22" spans="1:16" x14ac:dyDescent="0.2">
      <c r="A22" s="31" t="s">
        <v>60</v>
      </c>
      <c r="B22" s="6">
        <v>4</v>
      </c>
      <c r="G22" s="17"/>
      <c r="H22" s="2"/>
      <c r="I22" s="3"/>
      <c r="J22" s="3"/>
      <c r="K22" s="27"/>
      <c r="L22" s="28"/>
      <c r="M22" s="28"/>
      <c r="N22" s="28"/>
      <c r="O22" s="29"/>
      <c r="P22" s="30"/>
    </row>
    <row r="23" spans="1:16" x14ac:dyDescent="0.2">
      <c r="A23" s="31" t="s">
        <v>61</v>
      </c>
      <c r="B23" s="6">
        <v>3</v>
      </c>
      <c r="G23" s="17"/>
      <c r="H23" s="2"/>
      <c r="I23" s="3"/>
      <c r="J23" s="3"/>
      <c r="K23" s="27"/>
      <c r="L23" s="28"/>
      <c r="M23" s="28"/>
      <c r="N23" s="28"/>
      <c r="O23" s="29"/>
      <c r="P23" s="30"/>
    </row>
    <row r="24" spans="1:16" x14ac:dyDescent="0.2">
      <c r="A24" s="31" t="s">
        <v>62</v>
      </c>
      <c r="B24" s="6">
        <v>2</v>
      </c>
      <c r="G24" s="17"/>
      <c r="H24" s="2"/>
      <c r="I24" s="3"/>
      <c r="J24" s="3"/>
      <c r="K24" s="27"/>
      <c r="L24" s="28"/>
      <c r="M24" s="28"/>
      <c r="N24" s="28"/>
      <c r="O24" s="29"/>
      <c r="P24" s="30"/>
    </row>
    <row r="25" spans="1:16" x14ac:dyDescent="0.2">
      <c r="A25" s="31" t="s">
        <v>63</v>
      </c>
      <c r="B25" s="6">
        <v>1</v>
      </c>
      <c r="G25" s="17"/>
      <c r="H25" s="2"/>
      <c r="I25" s="3"/>
      <c r="J25" s="3"/>
      <c r="K25" s="27"/>
      <c r="L25" s="28"/>
      <c r="M25" s="28"/>
      <c r="N25" s="28"/>
      <c r="O25" s="29"/>
      <c r="P25" s="30"/>
    </row>
    <row r="26" spans="1:16" x14ac:dyDescent="0.2">
      <c r="G26" s="17"/>
      <c r="H26" s="2"/>
      <c r="I26" s="3"/>
      <c r="J26" s="3"/>
      <c r="K26" s="27"/>
      <c r="L26" s="28"/>
      <c r="M26" s="28"/>
      <c r="N26" s="28"/>
      <c r="O26" s="29"/>
      <c r="P26" s="30"/>
    </row>
    <row r="27" spans="1:16" x14ac:dyDescent="0.2">
      <c r="A27" s="16" t="s">
        <v>64</v>
      </c>
      <c r="G27" s="17"/>
      <c r="H27" s="2"/>
      <c r="I27" s="3"/>
      <c r="J27" s="3"/>
      <c r="K27" s="27"/>
      <c r="L27" s="28"/>
      <c r="M27" s="28"/>
      <c r="N27" s="28"/>
      <c r="O27" s="29"/>
      <c r="P27" s="30"/>
    </row>
    <row r="28" spans="1:16" x14ac:dyDescent="0.2">
      <c r="A28" s="6" t="s">
        <v>65</v>
      </c>
      <c r="B28" s="6" t="s">
        <v>55</v>
      </c>
      <c r="G28" s="34"/>
      <c r="H28" s="2"/>
      <c r="I28" s="3"/>
      <c r="J28" s="3"/>
      <c r="K28" s="27"/>
      <c r="L28" s="28"/>
      <c r="M28" s="28"/>
      <c r="N28" s="28"/>
      <c r="O28" s="29"/>
      <c r="P28" s="30"/>
    </row>
    <row r="29" spans="1:16" ht="22.5" x14ac:dyDescent="0.2">
      <c r="A29" s="35" t="s">
        <v>66</v>
      </c>
      <c r="B29" s="36" t="s">
        <v>67</v>
      </c>
      <c r="G29" s="34"/>
      <c r="H29" s="2"/>
      <c r="I29" s="3"/>
      <c r="J29" s="3"/>
      <c r="K29" s="27"/>
      <c r="L29" s="28"/>
      <c r="M29" s="28"/>
      <c r="N29" s="28"/>
      <c r="O29" s="29"/>
      <c r="P29" s="30"/>
    </row>
    <row r="30" spans="1:16" x14ac:dyDescent="0.2">
      <c r="A30" s="31" t="s">
        <v>68</v>
      </c>
      <c r="B30" s="36" t="s">
        <v>69</v>
      </c>
      <c r="F30" s="5"/>
      <c r="H30" s="2"/>
      <c r="I30" s="3"/>
      <c r="J30" s="3"/>
      <c r="K30" s="27"/>
      <c r="L30" s="28"/>
      <c r="M30" s="28"/>
      <c r="N30" s="28"/>
      <c r="O30" s="29"/>
      <c r="P30" s="30"/>
    </row>
    <row r="31" spans="1:16" x14ac:dyDescent="0.2">
      <c r="A31" s="31" t="s">
        <v>70</v>
      </c>
      <c r="B31" s="36" t="s">
        <v>71</v>
      </c>
      <c r="F31" s="5"/>
      <c r="H31" s="2"/>
      <c r="I31" s="3"/>
      <c r="J31" s="3"/>
      <c r="K31" s="27"/>
      <c r="L31" s="28"/>
      <c r="M31" s="28"/>
      <c r="N31" s="28"/>
      <c r="O31" s="29"/>
      <c r="P31" s="30"/>
    </row>
    <row r="32" spans="1:16" x14ac:dyDescent="0.2">
      <c r="F32" s="5"/>
      <c r="H32" s="2"/>
      <c r="I32" s="3"/>
      <c r="J32" s="3"/>
      <c r="K32" s="27"/>
      <c r="L32" s="28"/>
      <c r="M32" s="28"/>
      <c r="N32" s="28"/>
      <c r="O32" s="29"/>
      <c r="P32" s="30"/>
    </row>
    <row r="33" spans="1:16" x14ac:dyDescent="0.2">
      <c r="F33" s="5"/>
      <c r="H33" s="2"/>
      <c r="I33" s="3"/>
      <c r="J33" s="3"/>
      <c r="K33" s="27"/>
      <c r="L33" s="28"/>
      <c r="M33" s="28"/>
      <c r="N33" s="28"/>
      <c r="O33" s="29"/>
      <c r="P33" s="30"/>
    </row>
    <row r="34" spans="1:16" x14ac:dyDescent="0.2">
      <c r="A34" s="112" t="s">
        <v>72</v>
      </c>
      <c r="B34" s="112"/>
      <c r="C34" s="112"/>
      <c r="D34" s="112"/>
      <c r="E34" s="5" t="s">
        <v>73</v>
      </c>
      <c r="F34" s="5"/>
    </row>
    <row r="35" spans="1:16" x14ac:dyDescent="0.2">
      <c r="A35" s="112"/>
      <c r="B35" s="112"/>
      <c r="C35" s="112"/>
      <c r="D35" s="112"/>
      <c r="E35" s="112"/>
      <c r="F35" s="5"/>
    </row>
    <row r="36" spans="1:16" x14ac:dyDescent="0.2">
      <c r="A36" s="112"/>
      <c r="B36" s="112"/>
      <c r="C36" s="112"/>
      <c r="D36" s="112"/>
      <c r="E36" s="112"/>
      <c r="F36" s="5"/>
    </row>
    <row r="37" spans="1:16" x14ac:dyDescent="0.2">
      <c r="A37" s="112"/>
      <c r="B37" s="112"/>
      <c r="C37" s="112"/>
      <c r="D37" s="112"/>
      <c r="E37" s="112"/>
    </row>
    <row r="38" spans="1:16" x14ac:dyDescent="0.2">
      <c r="A38" s="112"/>
      <c r="B38" s="112"/>
      <c r="C38" s="112"/>
      <c r="D38" s="112"/>
      <c r="E38" s="112"/>
    </row>
    <row r="39" spans="1:16" x14ac:dyDescent="0.2">
      <c r="A39" s="112" t="s">
        <v>74</v>
      </c>
      <c r="B39" s="112"/>
      <c r="C39" s="112"/>
      <c r="D39" s="112"/>
      <c r="E39" s="5" t="s">
        <v>75</v>
      </c>
    </row>
    <row r="40" spans="1:16" x14ac:dyDescent="0.2">
      <c r="A40" s="110" t="s">
        <v>76</v>
      </c>
      <c r="B40" s="110"/>
      <c r="C40" s="110"/>
      <c r="D40" s="110"/>
      <c r="E40" s="4" t="s">
        <v>77</v>
      </c>
    </row>
    <row r="41" spans="1:16" ht="15" x14ac:dyDescent="0.2">
      <c r="E41" s="37"/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:F17">
    <cfRule type="containsText" dxfId="71" priority="2" operator="containsText" text="Poor">
      <formula>NOT(ISERROR(SEARCH("Poor",E17)))</formula>
    </cfRule>
    <cfRule type="containsText" dxfId="70" priority="3" operator="containsText" text="Average">
      <formula>NOT(ISERROR(SEARCH("Average",E17)))</formula>
    </cfRule>
    <cfRule type="containsText" dxfId="69" priority="4" operator="containsText" text="Good">
      <formula>NOT(ISERROR(SEARCH("Good",E17)))</formula>
    </cfRule>
    <cfRule type="containsText" dxfId="68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1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25.140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58" style="38" customWidth="1"/>
    <col min="6" max="6" width="8.42578125" style="16" customWidth="1"/>
    <col min="7" max="7" width="8.42578125" style="19" customWidth="1"/>
    <col min="8" max="8" width="10.140625" style="16" customWidth="1"/>
    <col min="9" max="16384" width="8.7109375" style="16"/>
  </cols>
  <sheetData>
    <row r="1" spans="1:15" s="19" customFormat="1" ht="14.25" customHeight="1" x14ac:dyDescent="0.25">
      <c r="A1" s="108"/>
      <c r="B1" s="109" t="s">
        <v>30</v>
      </c>
      <c r="C1" s="109"/>
      <c r="D1" s="109"/>
      <c r="E1" s="109"/>
      <c r="F1" s="7"/>
    </row>
    <row r="2" spans="1:15" s="19" customFormat="1" x14ac:dyDescent="0.2">
      <c r="A2" s="108"/>
      <c r="B2" s="109"/>
      <c r="C2" s="109"/>
      <c r="D2" s="109"/>
      <c r="E2" s="109"/>
      <c r="F2" s="7"/>
      <c r="G2" s="17"/>
      <c r="H2" s="18"/>
    </row>
    <row r="3" spans="1:15" s="19" customFormat="1" x14ac:dyDescent="0.2">
      <c r="A3" s="108"/>
      <c r="B3" s="109"/>
      <c r="C3" s="109"/>
      <c r="D3" s="109"/>
      <c r="E3" s="109"/>
      <c r="F3" s="7"/>
      <c r="G3" s="17"/>
      <c r="H3" s="18"/>
    </row>
    <row r="4" spans="1:15" s="19" customFormat="1" x14ac:dyDescent="0.2">
      <c r="A4" s="19" t="s">
        <v>31</v>
      </c>
      <c r="B4" s="108" t="s">
        <v>8</v>
      </c>
      <c r="C4" s="108"/>
      <c r="D4" s="108"/>
      <c r="E4" s="108"/>
      <c r="F4" s="8"/>
      <c r="G4" s="17"/>
      <c r="H4" s="18"/>
    </row>
    <row r="5" spans="1:15" s="19" customFormat="1" x14ac:dyDescent="0.2">
      <c r="A5" s="19" t="s">
        <v>32</v>
      </c>
      <c r="B5" s="113" t="s">
        <v>7</v>
      </c>
      <c r="C5" s="113"/>
      <c r="D5" s="113"/>
      <c r="E5" s="113"/>
      <c r="F5" s="8"/>
      <c r="G5" s="17"/>
      <c r="H5" s="18"/>
    </row>
    <row r="6" spans="1:15" s="19" customFormat="1" x14ac:dyDescent="0.2">
      <c r="A6" s="19" t="s">
        <v>33</v>
      </c>
      <c r="B6" s="108" t="s">
        <v>148</v>
      </c>
      <c r="C6" s="108"/>
      <c r="D6" s="108"/>
      <c r="E6" s="108"/>
      <c r="F6" s="8"/>
      <c r="G6" s="17"/>
      <c r="H6" s="18"/>
    </row>
    <row r="7" spans="1:15" x14ac:dyDescent="0.2">
      <c r="G7" s="17"/>
      <c r="H7" s="18"/>
    </row>
    <row r="8" spans="1:15" ht="22.5" x14ac:dyDescent="0.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21"/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41</v>
      </c>
      <c r="F9" s="26"/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ht="22.5" x14ac:dyDescent="0.1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78</v>
      </c>
      <c r="F10" s="26"/>
      <c r="G10" s="2"/>
      <c r="H10" s="3"/>
      <c r="I10" s="3"/>
      <c r="J10" s="27"/>
      <c r="K10" s="28"/>
      <c r="L10" s="28"/>
      <c r="M10" s="28"/>
      <c r="N10" s="29"/>
      <c r="O10" s="30"/>
    </row>
    <row r="11" spans="1:15" s="19" customFormat="1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5" t="s">
        <v>46</v>
      </c>
      <c r="F11" s="16"/>
      <c r="G11" s="2"/>
      <c r="H11" s="3"/>
      <c r="I11" s="3"/>
      <c r="J11" s="27"/>
      <c r="K11" s="28"/>
      <c r="L11" s="28"/>
      <c r="M11" s="28"/>
      <c r="N11" s="29"/>
      <c r="O11" s="30"/>
    </row>
    <row r="12" spans="1:15" ht="22.5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35" t="s">
        <v>48</v>
      </c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">
      <c r="A13" s="23" t="s">
        <v>49</v>
      </c>
      <c r="B13" s="24">
        <v>10</v>
      </c>
      <c r="C13" s="24">
        <v>4</v>
      </c>
      <c r="D13" s="24">
        <f t="shared" si="0"/>
        <v>40</v>
      </c>
      <c r="E13" s="35" t="s">
        <v>50</v>
      </c>
      <c r="F13" s="19"/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">
      <c r="A14" s="31" t="s">
        <v>51</v>
      </c>
      <c r="B14" s="6">
        <v>5</v>
      </c>
      <c r="C14" s="6">
        <v>4</v>
      </c>
      <c r="D14" s="6">
        <f t="shared" si="0"/>
        <v>20</v>
      </c>
      <c r="E14" s="35" t="s">
        <v>79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">
      <c r="A15" s="31" t="s">
        <v>53</v>
      </c>
      <c r="B15" s="6">
        <v>5</v>
      </c>
      <c r="C15" s="6">
        <v>4</v>
      </c>
      <c r="D15" s="6">
        <f t="shared" si="0"/>
        <v>20</v>
      </c>
      <c r="E15" s="35" t="s">
        <v>54</v>
      </c>
      <c r="G15" s="2"/>
      <c r="H15" s="3"/>
      <c r="I15" s="3"/>
      <c r="J15" s="27"/>
      <c r="K15" s="28"/>
      <c r="L15" s="28"/>
      <c r="M15" s="28"/>
      <c r="N15" s="29"/>
      <c r="O15" s="30"/>
    </row>
    <row r="16" spans="1:15" hidden="1" x14ac:dyDescent="0.2">
      <c r="A16" s="32"/>
      <c r="B16" s="4">
        <f>SUM(B9:B15)</f>
        <v>100</v>
      </c>
      <c r="D16" s="4">
        <f>SUM(D9:D15)</f>
        <v>400</v>
      </c>
      <c r="G16" s="2"/>
      <c r="H16" s="3"/>
      <c r="I16" s="3"/>
      <c r="J16" s="27"/>
      <c r="K16" s="28"/>
      <c r="L16" s="28"/>
      <c r="M16" s="28"/>
      <c r="N16" s="29"/>
      <c r="O16" s="30"/>
    </row>
    <row r="17" spans="1:15" x14ac:dyDescent="0.2">
      <c r="A17" s="111" t="s">
        <v>55</v>
      </c>
      <c r="B17" s="111"/>
      <c r="C17" s="111"/>
      <c r="D17" s="33">
        <f>D16/B16</f>
        <v>4</v>
      </c>
      <c r="E17" s="39" t="str">
        <f>IF(D17&gt;=3.7,"Excellent",IF(D17&gt;=3,"Good",IF(D17&lt;3,"Poor")))</f>
        <v>Excellent</v>
      </c>
      <c r="F17" s="4"/>
      <c r="G17" s="2"/>
      <c r="H17" s="3"/>
      <c r="I17" s="3"/>
      <c r="J17" s="27"/>
      <c r="K17" s="28"/>
      <c r="L17" s="28"/>
      <c r="M17" s="28"/>
      <c r="N17" s="29"/>
      <c r="O17" s="30"/>
    </row>
    <row r="18" spans="1:15" s="19" customFormat="1" x14ac:dyDescent="0.2">
      <c r="A18" s="16"/>
      <c r="B18" s="16"/>
      <c r="C18" s="16"/>
      <c r="D18" s="16"/>
      <c r="E18" s="38"/>
      <c r="F18" s="16"/>
      <c r="G18" s="2"/>
      <c r="H18" s="3"/>
      <c r="I18" s="3"/>
      <c r="J18" s="27"/>
      <c r="K18" s="28"/>
      <c r="L18" s="28"/>
      <c r="M18" s="28"/>
      <c r="N18" s="29"/>
      <c r="O18" s="30"/>
    </row>
    <row r="19" spans="1:15" x14ac:dyDescent="0.2">
      <c r="A19" s="16" t="s">
        <v>56</v>
      </c>
      <c r="E19" s="16"/>
      <c r="G19" s="2"/>
      <c r="H19" s="3"/>
      <c r="I19" s="3"/>
      <c r="J19" s="27"/>
      <c r="K19" s="28"/>
      <c r="L19" s="28"/>
      <c r="M19" s="28"/>
      <c r="N19" s="29"/>
      <c r="O19" s="30"/>
    </row>
    <row r="20" spans="1:15" x14ac:dyDescent="0.2">
      <c r="A20" s="16" t="s">
        <v>57</v>
      </c>
      <c r="E20" s="16"/>
      <c r="F20" s="19"/>
      <c r="G20" s="2"/>
      <c r="H20" s="3"/>
      <c r="I20" s="3"/>
      <c r="J20" s="27"/>
      <c r="K20" s="28"/>
      <c r="L20" s="28"/>
      <c r="M20" s="28"/>
      <c r="N20" s="29"/>
      <c r="O20" s="30"/>
    </row>
    <row r="21" spans="1:15" x14ac:dyDescent="0.2">
      <c r="A21" s="6" t="s">
        <v>58</v>
      </c>
      <c r="B21" s="6" t="s">
        <v>59</v>
      </c>
      <c r="E21" s="16"/>
      <c r="G21" s="2"/>
      <c r="H21" s="3"/>
      <c r="I21" s="3"/>
      <c r="J21" s="27"/>
      <c r="K21" s="28"/>
      <c r="L21" s="28"/>
      <c r="M21" s="28"/>
      <c r="N21" s="29"/>
      <c r="O21" s="30"/>
    </row>
    <row r="22" spans="1:15" x14ac:dyDescent="0.2">
      <c r="A22" s="31" t="s">
        <v>60</v>
      </c>
      <c r="B22" s="6">
        <v>4</v>
      </c>
      <c r="E22" s="16"/>
      <c r="G22" s="2"/>
      <c r="H22" s="3"/>
      <c r="I22" s="3"/>
      <c r="J22" s="27"/>
      <c r="K22" s="28"/>
      <c r="L22" s="28"/>
      <c r="M22" s="28"/>
      <c r="N22" s="29"/>
      <c r="O22" s="30"/>
    </row>
    <row r="23" spans="1:15" x14ac:dyDescent="0.2">
      <c r="A23" s="31" t="s">
        <v>61</v>
      </c>
      <c r="B23" s="6">
        <v>3</v>
      </c>
      <c r="E23" s="16"/>
      <c r="G23" s="2"/>
      <c r="H23" s="3"/>
      <c r="I23" s="3"/>
      <c r="J23" s="27"/>
      <c r="K23" s="28"/>
      <c r="L23" s="28"/>
      <c r="M23" s="28"/>
      <c r="N23" s="29"/>
      <c r="O23" s="30"/>
    </row>
    <row r="24" spans="1:15" x14ac:dyDescent="0.2">
      <c r="A24" s="31" t="s">
        <v>62</v>
      </c>
      <c r="B24" s="6">
        <v>2</v>
      </c>
      <c r="E24" s="16"/>
      <c r="G24" s="2"/>
      <c r="H24" s="3"/>
      <c r="I24" s="3"/>
      <c r="J24" s="27"/>
      <c r="K24" s="28"/>
      <c r="L24" s="28"/>
      <c r="M24" s="28"/>
      <c r="N24" s="29"/>
      <c r="O24" s="30"/>
    </row>
    <row r="25" spans="1:15" x14ac:dyDescent="0.2">
      <c r="A25" s="31" t="s">
        <v>63</v>
      </c>
      <c r="B25" s="6">
        <v>1</v>
      </c>
      <c r="E25" s="16"/>
      <c r="G25" s="2"/>
      <c r="H25" s="3"/>
      <c r="I25" s="3"/>
      <c r="J25" s="27"/>
      <c r="K25" s="28"/>
      <c r="L25" s="28"/>
      <c r="M25" s="28"/>
      <c r="N25" s="29"/>
      <c r="O25" s="30"/>
    </row>
    <row r="26" spans="1:15" x14ac:dyDescent="0.2">
      <c r="E26" s="16"/>
      <c r="G26" s="2"/>
      <c r="H26" s="3"/>
      <c r="I26" s="3"/>
      <c r="J26" s="27"/>
      <c r="K26" s="28"/>
      <c r="L26" s="28"/>
      <c r="M26" s="28"/>
      <c r="N26" s="29"/>
      <c r="O26" s="30"/>
    </row>
    <row r="27" spans="1:15" x14ac:dyDescent="0.2">
      <c r="A27" s="16" t="s">
        <v>64</v>
      </c>
      <c r="E27" s="16"/>
      <c r="G27" s="2"/>
      <c r="H27" s="3"/>
      <c r="I27" s="3"/>
      <c r="J27" s="27"/>
      <c r="K27" s="28"/>
      <c r="L27" s="28"/>
      <c r="M27" s="28"/>
      <c r="N27" s="29"/>
      <c r="O27" s="30"/>
    </row>
    <row r="28" spans="1:15" x14ac:dyDescent="0.2">
      <c r="A28" s="6" t="s">
        <v>65</v>
      </c>
      <c r="B28" s="6" t="s">
        <v>55</v>
      </c>
      <c r="E28" s="16"/>
      <c r="G28" s="2"/>
      <c r="H28" s="3"/>
      <c r="I28" s="3"/>
      <c r="J28" s="27"/>
      <c r="K28" s="28"/>
      <c r="L28" s="28"/>
      <c r="M28" s="28"/>
      <c r="N28" s="29"/>
      <c r="O28" s="30"/>
    </row>
    <row r="29" spans="1:15" ht="22.5" x14ac:dyDescent="0.2">
      <c r="A29" s="35" t="s">
        <v>66</v>
      </c>
      <c r="B29" s="36" t="s">
        <v>67</v>
      </c>
      <c r="E29" s="16"/>
      <c r="F29" s="5"/>
      <c r="G29" s="2"/>
      <c r="H29" s="3"/>
      <c r="I29" s="3"/>
      <c r="J29" s="27"/>
      <c r="K29" s="28"/>
      <c r="L29" s="28"/>
      <c r="M29" s="28"/>
      <c r="N29" s="29"/>
      <c r="O29" s="30"/>
    </row>
    <row r="30" spans="1:15" x14ac:dyDescent="0.2">
      <c r="A30" s="31" t="s">
        <v>68</v>
      </c>
      <c r="B30" s="36" t="s">
        <v>69</v>
      </c>
      <c r="E30" s="16"/>
      <c r="F30" s="5"/>
      <c r="G30" s="2"/>
      <c r="H30" s="3"/>
      <c r="I30" s="3"/>
      <c r="J30" s="27"/>
      <c r="K30" s="28"/>
      <c r="L30" s="28"/>
      <c r="M30" s="28"/>
      <c r="N30" s="29"/>
      <c r="O30" s="30"/>
    </row>
    <row r="31" spans="1:15" x14ac:dyDescent="0.2">
      <c r="A31" s="31" t="s">
        <v>70</v>
      </c>
      <c r="B31" s="36" t="s">
        <v>71</v>
      </c>
      <c r="E31" s="16"/>
      <c r="F31" s="5"/>
      <c r="G31" s="2"/>
      <c r="H31" s="3"/>
      <c r="I31" s="3"/>
      <c r="J31" s="27"/>
      <c r="K31" s="28"/>
      <c r="L31" s="28"/>
      <c r="M31" s="28"/>
      <c r="N31" s="29"/>
      <c r="O31" s="30"/>
    </row>
    <row r="32" spans="1:15" x14ac:dyDescent="0.2">
      <c r="E32" s="16"/>
      <c r="F32" s="5"/>
      <c r="G32" s="2"/>
      <c r="H32" s="3"/>
      <c r="I32" s="3"/>
      <c r="J32" s="27"/>
      <c r="K32" s="28"/>
      <c r="L32" s="28"/>
      <c r="M32" s="28"/>
      <c r="N32" s="29"/>
      <c r="O32" s="30"/>
    </row>
    <row r="33" spans="1:15" x14ac:dyDescent="0.2">
      <c r="E33" s="16"/>
      <c r="F33" s="5"/>
      <c r="G33" s="2"/>
      <c r="H33" s="3"/>
      <c r="I33" s="3"/>
      <c r="J33" s="27"/>
      <c r="K33" s="28"/>
      <c r="L33" s="28"/>
      <c r="M33" s="28"/>
      <c r="N33" s="29"/>
      <c r="O33" s="30"/>
    </row>
    <row r="34" spans="1:15" x14ac:dyDescent="0.2">
      <c r="A34" s="112" t="s">
        <v>72</v>
      </c>
      <c r="B34" s="112"/>
      <c r="C34" s="112"/>
      <c r="D34" s="112"/>
      <c r="E34" s="5" t="s">
        <v>73</v>
      </c>
      <c r="F34" s="5"/>
    </row>
    <row r="35" spans="1:15" x14ac:dyDescent="0.2">
      <c r="A35" s="112"/>
      <c r="B35" s="112"/>
      <c r="C35" s="112"/>
      <c r="D35" s="112"/>
      <c r="E35" s="112"/>
      <c r="F35" s="5"/>
    </row>
    <row r="36" spans="1:15" x14ac:dyDescent="0.2">
      <c r="A36" s="112"/>
      <c r="B36" s="112"/>
      <c r="C36" s="112"/>
      <c r="D36" s="112"/>
      <c r="E36" s="112"/>
    </row>
    <row r="37" spans="1:15" x14ac:dyDescent="0.2">
      <c r="A37" s="112"/>
      <c r="B37" s="112"/>
      <c r="C37" s="112"/>
      <c r="D37" s="112"/>
      <c r="E37" s="112"/>
    </row>
    <row r="38" spans="1:15" x14ac:dyDescent="0.2">
      <c r="A38" s="112"/>
      <c r="B38" s="112"/>
      <c r="C38" s="112"/>
      <c r="D38" s="112"/>
      <c r="E38" s="112"/>
    </row>
    <row r="39" spans="1:15" x14ac:dyDescent="0.2">
      <c r="A39" s="112" t="s">
        <v>74</v>
      </c>
      <c r="B39" s="112"/>
      <c r="C39" s="112"/>
      <c r="D39" s="112"/>
      <c r="E39" s="5" t="s">
        <v>75</v>
      </c>
    </row>
    <row r="40" spans="1:15" x14ac:dyDescent="0.2">
      <c r="A40" s="110" t="s">
        <v>76</v>
      </c>
      <c r="B40" s="110"/>
      <c r="C40" s="110"/>
      <c r="D40" s="110"/>
      <c r="E40" s="4" t="s">
        <v>77</v>
      </c>
    </row>
    <row r="41" spans="1:15" ht="15" x14ac:dyDescent="0.2">
      <c r="E41" s="37"/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:F17">
    <cfRule type="containsText" dxfId="67" priority="2" operator="containsText" text="Poor">
      <formula>NOT(ISERROR(SEARCH("Poor",E17)))</formula>
    </cfRule>
    <cfRule type="containsText" dxfId="66" priority="3" operator="containsText" text="Average">
      <formula>NOT(ISERROR(SEARCH("Average",E17)))</formula>
    </cfRule>
    <cfRule type="containsText" dxfId="65" priority="4" operator="containsText" text="Good">
      <formula>NOT(ISERROR(SEARCH("Good",E17)))</formula>
    </cfRule>
    <cfRule type="containsText" dxfId="64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1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22.57031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57.140625" style="16" customWidth="1"/>
    <col min="6" max="6" width="8.42578125" style="19" customWidth="1"/>
    <col min="7" max="7" width="10.7109375" style="16" customWidth="1"/>
    <col min="8" max="8" width="10.85546875" style="16" customWidth="1"/>
    <col min="9" max="16384" width="8.7109375" style="16"/>
  </cols>
  <sheetData>
    <row r="1" spans="1:15" s="19" customFormat="1" ht="14.25" customHeight="1" x14ac:dyDescent="0.25">
      <c r="A1" s="108"/>
      <c r="B1" s="109" t="s">
        <v>30</v>
      </c>
      <c r="C1" s="109"/>
      <c r="D1" s="109"/>
      <c r="E1" s="109"/>
    </row>
    <row r="2" spans="1:15" s="19" customFormat="1" x14ac:dyDescent="0.25">
      <c r="A2" s="108"/>
      <c r="B2" s="109"/>
      <c r="C2" s="109"/>
      <c r="D2" s="109"/>
      <c r="E2" s="109"/>
    </row>
    <row r="3" spans="1:15" s="19" customFormat="1" x14ac:dyDescent="0.25">
      <c r="A3" s="108"/>
      <c r="B3" s="109"/>
      <c r="C3" s="109"/>
      <c r="D3" s="109"/>
      <c r="E3" s="109"/>
    </row>
    <row r="4" spans="1:15" s="19" customFormat="1" x14ac:dyDescent="0.25">
      <c r="A4" s="19" t="s">
        <v>31</v>
      </c>
      <c r="B4" s="108" t="s">
        <v>80</v>
      </c>
      <c r="C4" s="108"/>
      <c r="D4" s="108"/>
      <c r="E4" s="108"/>
    </row>
    <row r="5" spans="1:15" s="19" customFormat="1" x14ac:dyDescent="0.25">
      <c r="A5" s="19" t="s">
        <v>32</v>
      </c>
      <c r="B5" s="108" t="s">
        <v>10</v>
      </c>
      <c r="C5" s="108"/>
      <c r="D5" s="108"/>
      <c r="E5" s="108"/>
    </row>
    <row r="6" spans="1:15" s="19" customFormat="1" x14ac:dyDescent="0.25">
      <c r="A6" s="19" t="s">
        <v>33</v>
      </c>
      <c r="B6" s="108" t="s">
        <v>148</v>
      </c>
      <c r="C6" s="108"/>
      <c r="D6" s="108"/>
      <c r="E6" s="108"/>
    </row>
    <row r="8" spans="1:15" ht="22.5" x14ac:dyDescent="0.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81</v>
      </c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82</v>
      </c>
      <c r="G10" s="2"/>
      <c r="H10" s="3"/>
      <c r="I10" s="3"/>
      <c r="J10" s="27"/>
      <c r="K10" s="28"/>
      <c r="L10" s="28"/>
      <c r="M10" s="28"/>
      <c r="N10" s="29"/>
      <c r="O10" s="30"/>
    </row>
    <row r="11" spans="1:15" s="19" customFormat="1" x14ac:dyDescent="0.2">
      <c r="A11" s="23" t="s">
        <v>45</v>
      </c>
      <c r="B11" s="24">
        <v>20</v>
      </c>
      <c r="C11" s="24">
        <v>2</v>
      </c>
      <c r="D11" s="24">
        <f t="shared" si="0"/>
        <v>40</v>
      </c>
      <c r="E11" s="31" t="s">
        <v>83</v>
      </c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31" t="s">
        <v>84</v>
      </c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">
      <c r="A13" s="23" t="s">
        <v>49</v>
      </c>
      <c r="B13" s="24">
        <v>10</v>
      </c>
      <c r="C13" s="24">
        <v>4</v>
      </c>
      <c r="D13" s="24">
        <f t="shared" si="0"/>
        <v>40</v>
      </c>
      <c r="E13" s="23" t="s">
        <v>50</v>
      </c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">
      <c r="A14" s="31" t="s">
        <v>51</v>
      </c>
      <c r="B14" s="6">
        <v>5</v>
      </c>
      <c r="C14" s="6">
        <v>3</v>
      </c>
      <c r="D14" s="6">
        <f t="shared" si="0"/>
        <v>15</v>
      </c>
      <c r="E14" s="31" t="s">
        <v>52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">
      <c r="A15" s="31" t="s">
        <v>53</v>
      </c>
      <c r="B15" s="6">
        <v>5</v>
      </c>
      <c r="C15" s="6">
        <v>4</v>
      </c>
      <c r="D15" s="6">
        <f t="shared" si="0"/>
        <v>20</v>
      </c>
      <c r="E15" s="31" t="s">
        <v>54</v>
      </c>
      <c r="G15" s="40"/>
      <c r="H15" s="41"/>
    </row>
    <row r="16" spans="1:15" hidden="1" x14ac:dyDescent="0.2">
      <c r="A16" s="32"/>
      <c r="B16" s="4">
        <f>SUM(B9:B15)</f>
        <v>100</v>
      </c>
      <c r="D16" s="4">
        <f>SUM(D9:D15)</f>
        <v>355</v>
      </c>
    </row>
    <row r="17" spans="1:5" x14ac:dyDescent="0.2">
      <c r="A17" s="111" t="s">
        <v>55</v>
      </c>
      <c r="B17" s="111"/>
      <c r="C17" s="111"/>
      <c r="D17" s="33">
        <f>D16/B16</f>
        <v>3.55</v>
      </c>
      <c r="E17" s="6" t="str">
        <f>IF(D17&gt;=3.7,"Excellent",IF(D17&gt;=3,"Good",IF(D17&lt;3,"Poor")))</f>
        <v>Good</v>
      </c>
    </row>
    <row r="19" spans="1:5" x14ac:dyDescent="0.2">
      <c r="A19" s="16" t="s">
        <v>56</v>
      </c>
    </row>
    <row r="20" spans="1:5" x14ac:dyDescent="0.2">
      <c r="A20" s="16" t="s">
        <v>57</v>
      </c>
    </row>
    <row r="21" spans="1:5" x14ac:dyDescent="0.2">
      <c r="A21" s="6" t="s">
        <v>58</v>
      </c>
      <c r="B21" s="6" t="s">
        <v>59</v>
      </c>
    </row>
    <row r="22" spans="1:5" x14ac:dyDescent="0.2">
      <c r="A22" s="31" t="s">
        <v>60</v>
      </c>
      <c r="B22" s="6">
        <v>4</v>
      </c>
    </row>
    <row r="23" spans="1:5" x14ac:dyDescent="0.2">
      <c r="A23" s="31" t="s">
        <v>61</v>
      </c>
      <c r="B23" s="6">
        <v>3</v>
      </c>
    </row>
    <row r="24" spans="1:5" x14ac:dyDescent="0.2">
      <c r="A24" s="31" t="s">
        <v>62</v>
      </c>
      <c r="B24" s="6">
        <v>2</v>
      </c>
    </row>
    <row r="25" spans="1:5" x14ac:dyDescent="0.2">
      <c r="A25" s="31" t="s">
        <v>63</v>
      </c>
      <c r="B25" s="6">
        <v>1</v>
      </c>
    </row>
    <row r="27" spans="1:5" x14ac:dyDescent="0.2">
      <c r="A27" s="16" t="s">
        <v>64</v>
      </c>
    </row>
    <row r="28" spans="1:5" x14ac:dyDescent="0.2">
      <c r="A28" s="6" t="s">
        <v>65</v>
      </c>
      <c r="B28" s="6" t="s">
        <v>55</v>
      </c>
    </row>
    <row r="29" spans="1:5" ht="22.5" x14ac:dyDescent="0.2">
      <c r="A29" s="35" t="s">
        <v>66</v>
      </c>
      <c r="B29" s="36" t="s">
        <v>67</v>
      </c>
    </row>
    <row r="30" spans="1:5" x14ac:dyDescent="0.2">
      <c r="A30" s="31" t="s">
        <v>68</v>
      </c>
      <c r="B30" s="36" t="s">
        <v>69</v>
      </c>
    </row>
    <row r="31" spans="1:5" x14ac:dyDescent="0.2">
      <c r="A31" s="31" t="s">
        <v>70</v>
      </c>
      <c r="B31" s="36" t="s">
        <v>71</v>
      </c>
    </row>
    <row r="34" spans="1:5" x14ac:dyDescent="0.2">
      <c r="A34" s="112" t="s">
        <v>72</v>
      </c>
      <c r="B34" s="112"/>
      <c r="C34" s="112"/>
      <c r="D34" s="112"/>
      <c r="E34" s="5" t="s">
        <v>73</v>
      </c>
    </row>
    <row r="35" spans="1:5" x14ac:dyDescent="0.2">
      <c r="A35" s="112"/>
      <c r="B35" s="112"/>
      <c r="C35" s="112"/>
      <c r="D35" s="112"/>
      <c r="E35" s="112"/>
    </row>
    <row r="36" spans="1:5" x14ac:dyDescent="0.2">
      <c r="A36" s="112"/>
      <c r="B36" s="112"/>
      <c r="C36" s="112"/>
      <c r="D36" s="112"/>
      <c r="E36" s="112"/>
    </row>
    <row r="37" spans="1:5" x14ac:dyDescent="0.2">
      <c r="A37" s="112"/>
      <c r="B37" s="112"/>
      <c r="C37" s="112"/>
      <c r="D37" s="112"/>
      <c r="E37" s="112"/>
    </row>
    <row r="38" spans="1:5" x14ac:dyDescent="0.2">
      <c r="A38" s="112"/>
      <c r="B38" s="112"/>
      <c r="C38" s="112"/>
      <c r="D38" s="112"/>
      <c r="E38" s="112"/>
    </row>
    <row r="39" spans="1:5" x14ac:dyDescent="0.2">
      <c r="A39" s="112" t="s">
        <v>74</v>
      </c>
      <c r="B39" s="112"/>
      <c r="C39" s="112"/>
      <c r="D39" s="112"/>
      <c r="E39" s="5" t="s">
        <v>75</v>
      </c>
    </row>
    <row r="40" spans="1:5" x14ac:dyDescent="0.2">
      <c r="A40" s="110" t="s">
        <v>76</v>
      </c>
      <c r="B40" s="110"/>
      <c r="C40" s="110"/>
      <c r="D40" s="110"/>
      <c r="E40" s="4" t="s">
        <v>77</v>
      </c>
    </row>
    <row r="41" spans="1:5" ht="15" x14ac:dyDescent="0.2">
      <c r="E41" s="37"/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">
    <cfRule type="containsText" dxfId="63" priority="2" operator="containsText" text="Poor">
      <formula>NOT(ISERROR(SEARCH("Poor",E17)))</formula>
    </cfRule>
    <cfRule type="containsText" dxfId="62" priority="3" operator="containsText" text="Average">
      <formula>NOT(ISERROR(SEARCH("Average",E17)))</formula>
    </cfRule>
    <cfRule type="containsText" dxfId="61" priority="4" operator="containsText" text="Good">
      <formula>NOT(ISERROR(SEARCH("Good",E17)))</formula>
    </cfRule>
    <cfRule type="containsText" dxfId="60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21.140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54.140625" style="16" customWidth="1"/>
    <col min="6" max="6" width="10.140625" style="16" customWidth="1"/>
    <col min="7" max="7" width="10.7109375" style="16" customWidth="1"/>
    <col min="8" max="8" width="10.85546875" style="16" customWidth="1"/>
    <col min="9" max="16384" width="8.7109375" style="16"/>
  </cols>
  <sheetData>
    <row r="1" spans="1:15" ht="14.25" customHeight="1" x14ac:dyDescent="0.2">
      <c r="A1" s="110"/>
      <c r="B1" s="109" t="s">
        <v>30</v>
      </c>
      <c r="C1" s="109"/>
      <c r="D1" s="109"/>
      <c r="E1" s="109"/>
    </row>
    <row r="2" spans="1:15" ht="14.25" customHeight="1" x14ac:dyDescent="0.2">
      <c r="A2" s="110"/>
      <c r="B2" s="109"/>
      <c r="C2" s="109"/>
      <c r="D2" s="109"/>
      <c r="E2" s="109"/>
      <c r="F2" s="42"/>
      <c r="G2" s="43"/>
      <c r="H2" s="44"/>
    </row>
    <row r="3" spans="1:15" x14ac:dyDescent="0.2">
      <c r="A3" s="110"/>
      <c r="B3" s="109"/>
      <c r="C3" s="109"/>
      <c r="D3" s="109"/>
      <c r="E3" s="109"/>
      <c r="F3" s="42"/>
      <c r="G3" s="43"/>
      <c r="H3" s="44"/>
    </row>
    <row r="4" spans="1:15" x14ac:dyDescent="0.2">
      <c r="A4" s="16" t="s">
        <v>31</v>
      </c>
      <c r="B4" s="110" t="s">
        <v>11</v>
      </c>
      <c r="C4" s="110"/>
      <c r="D4" s="110"/>
      <c r="E4" s="110"/>
      <c r="F4" s="42"/>
      <c r="G4" s="43"/>
      <c r="H4" s="44"/>
    </row>
    <row r="5" spans="1:15" x14ac:dyDescent="0.2">
      <c r="A5" s="16" t="s">
        <v>32</v>
      </c>
      <c r="B5" s="110" t="s">
        <v>85</v>
      </c>
      <c r="C5" s="110"/>
      <c r="D5" s="110"/>
      <c r="E5" s="110"/>
      <c r="F5" s="42"/>
      <c r="G5" s="43"/>
      <c r="H5" s="44"/>
    </row>
    <row r="6" spans="1:15" x14ac:dyDescent="0.2">
      <c r="A6" s="16" t="s">
        <v>33</v>
      </c>
      <c r="B6" s="108" t="s">
        <v>148</v>
      </c>
      <c r="C6" s="108"/>
      <c r="D6" s="108"/>
      <c r="E6" s="108"/>
      <c r="G6" s="45"/>
    </row>
    <row r="7" spans="1:15" x14ac:dyDescent="0.2">
      <c r="G7" s="45"/>
    </row>
    <row r="8" spans="1:15" ht="22.5" x14ac:dyDescent="0.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3</v>
      </c>
      <c r="D9" s="24">
        <f t="shared" ref="D9:D15" si="0">B9*C9</f>
        <v>60</v>
      </c>
      <c r="E9" s="25" t="s">
        <v>86</v>
      </c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87</v>
      </c>
      <c r="G10" s="2"/>
      <c r="H10" s="3"/>
      <c r="I10" s="3"/>
      <c r="J10" s="27"/>
      <c r="K10" s="28"/>
      <c r="L10" s="28"/>
      <c r="M10" s="28"/>
      <c r="N10" s="29"/>
      <c r="O10" s="30"/>
    </row>
    <row r="11" spans="1:15" x14ac:dyDescent="0.2">
      <c r="A11" s="23" t="s">
        <v>45</v>
      </c>
      <c r="B11" s="24">
        <v>20</v>
      </c>
      <c r="C11" s="24">
        <v>2</v>
      </c>
      <c r="D11" s="24">
        <f t="shared" si="0"/>
        <v>40</v>
      </c>
      <c r="E11" s="31" t="s">
        <v>88</v>
      </c>
      <c r="F11" s="19"/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89</v>
      </c>
      <c r="F12" s="19"/>
      <c r="G12" s="17"/>
      <c r="H12" s="18"/>
    </row>
    <row r="13" spans="1:15" x14ac:dyDescent="0.2">
      <c r="A13" s="23" t="s">
        <v>49</v>
      </c>
      <c r="B13" s="6">
        <v>10</v>
      </c>
      <c r="C13" s="6">
        <v>4</v>
      </c>
      <c r="D13" s="6">
        <f t="shared" si="0"/>
        <v>40</v>
      </c>
      <c r="E13" s="31" t="s">
        <v>90</v>
      </c>
      <c r="G13" s="17"/>
      <c r="H13" s="18"/>
    </row>
    <row r="14" spans="1:15" x14ac:dyDescent="0.2">
      <c r="A14" s="31" t="s">
        <v>51</v>
      </c>
      <c r="B14" s="6">
        <v>5</v>
      </c>
      <c r="C14" s="6">
        <v>3</v>
      </c>
      <c r="D14" s="6">
        <f t="shared" si="0"/>
        <v>15</v>
      </c>
      <c r="E14" s="31" t="s">
        <v>91</v>
      </c>
      <c r="G14" s="17"/>
      <c r="H14" s="18"/>
    </row>
    <row r="15" spans="1:15" x14ac:dyDescent="0.2">
      <c r="A15" s="31" t="s">
        <v>53</v>
      </c>
      <c r="B15" s="6">
        <v>5</v>
      </c>
      <c r="C15" s="6">
        <v>4</v>
      </c>
      <c r="D15" s="6">
        <f t="shared" si="0"/>
        <v>20</v>
      </c>
      <c r="E15" s="31" t="s">
        <v>92</v>
      </c>
      <c r="G15" s="17"/>
      <c r="H15" s="18"/>
    </row>
    <row r="16" spans="1:15" hidden="1" x14ac:dyDescent="0.2">
      <c r="A16" s="32"/>
      <c r="B16" s="4">
        <f>SUM(B9:B15)</f>
        <v>100</v>
      </c>
      <c r="D16" s="4">
        <f>SUM(D9:D15)</f>
        <v>335</v>
      </c>
      <c r="G16" s="17"/>
      <c r="H16" s="18"/>
    </row>
    <row r="17" spans="1:8" x14ac:dyDescent="0.2">
      <c r="A17" s="111" t="s">
        <v>55</v>
      </c>
      <c r="B17" s="111"/>
      <c r="C17" s="111"/>
      <c r="D17" s="33">
        <f>D16/B16</f>
        <v>3.35</v>
      </c>
      <c r="E17" s="6" t="str">
        <f>IF(D17&gt;=3.7,"Excellent",IF(D17&gt;=3,"Good",IF(D17&lt;3,"Poor")))</f>
        <v>Good</v>
      </c>
      <c r="G17" s="17"/>
      <c r="H17" s="18"/>
    </row>
    <row r="18" spans="1:8" x14ac:dyDescent="0.2">
      <c r="G18" s="17"/>
      <c r="H18" s="18"/>
    </row>
    <row r="19" spans="1:8" x14ac:dyDescent="0.2">
      <c r="A19" s="16" t="s">
        <v>56</v>
      </c>
      <c r="G19" s="17"/>
      <c r="H19" s="18"/>
    </row>
    <row r="20" spans="1:8" x14ac:dyDescent="0.2">
      <c r="A20" s="16" t="s">
        <v>57</v>
      </c>
    </row>
    <row r="21" spans="1:8" x14ac:dyDescent="0.2">
      <c r="A21" s="6" t="s">
        <v>58</v>
      </c>
      <c r="B21" s="6" t="s">
        <v>59</v>
      </c>
    </row>
    <row r="22" spans="1:8" x14ac:dyDescent="0.2">
      <c r="A22" s="31" t="s">
        <v>60</v>
      </c>
      <c r="B22" s="6">
        <v>4</v>
      </c>
    </row>
    <row r="23" spans="1:8" x14ac:dyDescent="0.2">
      <c r="A23" s="31" t="s">
        <v>61</v>
      </c>
      <c r="B23" s="6">
        <v>3</v>
      </c>
    </row>
    <row r="24" spans="1:8" x14ac:dyDescent="0.2">
      <c r="A24" s="31" t="s">
        <v>62</v>
      </c>
      <c r="B24" s="6">
        <v>2</v>
      </c>
    </row>
    <row r="25" spans="1:8" x14ac:dyDescent="0.2">
      <c r="A25" s="31" t="s">
        <v>63</v>
      </c>
      <c r="B25" s="6">
        <v>1</v>
      </c>
    </row>
    <row r="27" spans="1:8" x14ac:dyDescent="0.2">
      <c r="A27" s="16" t="s">
        <v>64</v>
      </c>
    </row>
    <row r="28" spans="1:8" x14ac:dyDescent="0.2">
      <c r="A28" s="6" t="s">
        <v>65</v>
      </c>
      <c r="B28" s="6" t="s">
        <v>55</v>
      </c>
    </row>
    <row r="29" spans="1:8" ht="22.5" x14ac:dyDescent="0.2">
      <c r="A29" s="35" t="s">
        <v>66</v>
      </c>
      <c r="B29" s="36" t="s">
        <v>67</v>
      </c>
    </row>
    <row r="30" spans="1:8" x14ac:dyDescent="0.2">
      <c r="A30" s="31" t="s">
        <v>68</v>
      </c>
      <c r="B30" s="36" t="s">
        <v>69</v>
      </c>
    </row>
    <row r="31" spans="1:8" x14ac:dyDescent="0.2">
      <c r="A31" s="31" t="s">
        <v>70</v>
      </c>
      <c r="B31" s="36" t="s">
        <v>71</v>
      </c>
    </row>
    <row r="34" spans="1:5" x14ac:dyDescent="0.2">
      <c r="A34" s="112" t="s">
        <v>72</v>
      </c>
      <c r="B34" s="112"/>
      <c r="C34" s="112"/>
      <c r="D34" s="112"/>
      <c r="E34" s="5" t="s">
        <v>73</v>
      </c>
    </row>
    <row r="35" spans="1:5" x14ac:dyDescent="0.2">
      <c r="A35" s="112"/>
      <c r="B35" s="112"/>
      <c r="C35" s="112"/>
      <c r="D35" s="112"/>
      <c r="E35" s="112"/>
    </row>
    <row r="36" spans="1:5" x14ac:dyDescent="0.2">
      <c r="A36" s="112"/>
      <c r="B36" s="112"/>
      <c r="C36" s="112"/>
      <c r="D36" s="112"/>
      <c r="E36" s="112"/>
    </row>
    <row r="37" spans="1:5" x14ac:dyDescent="0.2">
      <c r="A37" s="112"/>
      <c r="B37" s="112"/>
      <c r="C37" s="112"/>
      <c r="D37" s="112"/>
      <c r="E37" s="112"/>
    </row>
    <row r="38" spans="1:5" x14ac:dyDescent="0.2">
      <c r="A38" s="112"/>
      <c r="B38" s="112"/>
      <c r="C38" s="112"/>
      <c r="D38" s="112"/>
      <c r="E38" s="112"/>
    </row>
    <row r="39" spans="1:5" x14ac:dyDescent="0.2">
      <c r="A39" s="112" t="s">
        <v>74</v>
      </c>
      <c r="B39" s="112"/>
      <c r="C39" s="112"/>
      <c r="D39" s="112"/>
      <c r="E39" s="5" t="s">
        <v>75</v>
      </c>
    </row>
    <row r="40" spans="1:5" x14ac:dyDescent="0.2">
      <c r="A40" s="110" t="s">
        <v>76</v>
      </c>
      <c r="B40" s="110"/>
      <c r="C40" s="110"/>
      <c r="D40" s="110"/>
      <c r="E40" s="4" t="s">
        <v>77</v>
      </c>
    </row>
    <row r="41" spans="1:5" ht="15" x14ac:dyDescent="0.2">
      <c r="E41" s="37"/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">
    <cfRule type="containsText" dxfId="59" priority="2" operator="containsText" text="Poor">
      <formula>NOT(ISERROR(SEARCH("Poor",E17)))</formula>
    </cfRule>
    <cfRule type="containsText" dxfId="58" priority="3" operator="containsText" text="Average">
      <formula>NOT(ISERROR(SEARCH("Average",E17)))</formula>
    </cfRule>
    <cfRule type="containsText" dxfId="57" priority="4" operator="containsText" text="Good">
      <formula>NOT(ISERROR(SEARCH("Good",E17)))</formula>
    </cfRule>
    <cfRule type="containsText" dxfId="56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1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21.140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54.140625" style="16" customWidth="1"/>
    <col min="6" max="6" width="10.140625" style="16" customWidth="1"/>
    <col min="7" max="7" width="10.7109375" style="16" customWidth="1"/>
    <col min="8" max="8" width="10.85546875" style="16" customWidth="1"/>
    <col min="9" max="16384" width="8.7109375" style="16"/>
  </cols>
  <sheetData>
    <row r="1" spans="1:15" ht="14.25" customHeight="1" x14ac:dyDescent="0.2">
      <c r="A1" s="110"/>
      <c r="B1" s="109" t="s">
        <v>30</v>
      </c>
      <c r="C1" s="109"/>
      <c r="D1" s="109"/>
      <c r="E1" s="109"/>
    </row>
    <row r="2" spans="1:15" ht="14.25" customHeight="1" x14ac:dyDescent="0.2">
      <c r="A2" s="110"/>
      <c r="B2" s="109"/>
      <c r="C2" s="109"/>
      <c r="D2" s="109"/>
      <c r="E2" s="109"/>
      <c r="F2" s="42"/>
      <c r="G2" s="43"/>
      <c r="H2" s="44"/>
    </row>
    <row r="3" spans="1:15" x14ac:dyDescent="0.2">
      <c r="A3" s="110"/>
      <c r="B3" s="109"/>
      <c r="C3" s="109"/>
      <c r="D3" s="109"/>
      <c r="E3" s="109"/>
      <c r="F3" s="42"/>
      <c r="G3" s="43"/>
      <c r="H3" s="44"/>
    </row>
    <row r="4" spans="1:15" x14ac:dyDescent="0.2">
      <c r="A4" s="16" t="s">
        <v>31</v>
      </c>
      <c r="B4" s="110" t="s">
        <v>13</v>
      </c>
      <c r="C4" s="110"/>
      <c r="D4" s="110"/>
      <c r="E4" s="110"/>
      <c r="F4" s="42"/>
      <c r="G4" s="43"/>
      <c r="H4" s="44"/>
    </row>
    <row r="5" spans="1:15" x14ac:dyDescent="0.2">
      <c r="A5" s="16" t="s">
        <v>32</v>
      </c>
      <c r="B5" s="110" t="s">
        <v>85</v>
      </c>
      <c r="C5" s="110"/>
      <c r="D5" s="110"/>
      <c r="E5" s="110"/>
      <c r="F5" s="42"/>
      <c r="G5" s="43"/>
      <c r="H5" s="44"/>
    </row>
    <row r="6" spans="1:15" x14ac:dyDescent="0.2">
      <c r="A6" s="16" t="s">
        <v>33</v>
      </c>
      <c r="B6" s="108" t="s">
        <v>148</v>
      </c>
      <c r="C6" s="108"/>
      <c r="D6" s="108"/>
      <c r="E6" s="108"/>
      <c r="G6" s="45"/>
    </row>
    <row r="7" spans="1:15" x14ac:dyDescent="0.2">
      <c r="G7" s="45"/>
    </row>
    <row r="8" spans="1:15" ht="22.5" x14ac:dyDescent="0.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3</v>
      </c>
      <c r="D9" s="24">
        <f t="shared" ref="D9:D15" si="0">B9*C9</f>
        <v>60</v>
      </c>
      <c r="E9" s="25" t="s">
        <v>86</v>
      </c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87</v>
      </c>
      <c r="G10" s="2"/>
      <c r="H10" s="3"/>
      <c r="I10" s="3"/>
      <c r="J10" s="27"/>
      <c r="K10" s="28"/>
      <c r="L10" s="28"/>
      <c r="M10" s="28"/>
      <c r="N10" s="29"/>
      <c r="O10" s="30"/>
    </row>
    <row r="11" spans="1:15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1" t="s">
        <v>93</v>
      </c>
      <c r="F11" s="19"/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89</v>
      </c>
      <c r="F12" s="19"/>
      <c r="G12" s="17"/>
      <c r="H12" s="18"/>
    </row>
    <row r="13" spans="1:15" x14ac:dyDescent="0.2">
      <c r="A13" s="23" t="s">
        <v>49</v>
      </c>
      <c r="B13" s="6">
        <v>10</v>
      </c>
      <c r="C13" s="6">
        <v>4</v>
      </c>
      <c r="D13" s="6">
        <f t="shared" si="0"/>
        <v>40</v>
      </c>
      <c r="E13" s="31" t="s">
        <v>90</v>
      </c>
      <c r="G13" s="17"/>
      <c r="H13" s="18"/>
    </row>
    <row r="14" spans="1:15" x14ac:dyDescent="0.2">
      <c r="A14" s="31" t="s">
        <v>51</v>
      </c>
      <c r="B14" s="6">
        <v>5</v>
      </c>
      <c r="C14" s="6">
        <v>3</v>
      </c>
      <c r="D14" s="6">
        <f t="shared" si="0"/>
        <v>15</v>
      </c>
      <c r="E14" s="31" t="s">
        <v>91</v>
      </c>
      <c r="G14" s="17"/>
      <c r="H14" s="18"/>
    </row>
    <row r="15" spans="1:15" x14ac:dyDescent="0.2">
      <c r="A15" s="31" t="s">
        <v>53</v>
      </c>
      <c r="B15" s="6">
        <v>5</v>
      </c>
      <c r="C15" s="6">
        <v>4</v>
      </c>
      <c r="D15" s="6">
        <f t="shared" si="0"/>
        <v>20</v>
      </c>
      <c r="E15" s="31" t="s">
        <v>92</v>
      </c>
      <c r="G15" s="17"/>
      <c r="H15" s="18"/>
    </row>
    <row r="16" spans="1:15" hidden="1" x14ac:dyDescent="0.2">
      <c r="A16" s="32"/>
      <c r="B16" s="4">
        <f>SUM(B9:B15)</f>
        <v>100</v>
      </c>
      <c r="D16" s="4">
        <f>SUM(D9:D15)</f>
        <v>375</v>
      </c>
      <c r="G16" s="17"/>
      <c r="H16" s="18"/>
    </row>
    <row r="17" spans="1:8" x14ac:dyDescent="0.2">
      <c r="A17" s="111" t="s">
        <v>55</v>
      </c>
      <c r="B17" s="111"/>
      <c r="C17" s="111"/>
      <c r="D17" s="33">
        <f>D16/B16</f>
        <v>3.75</v>
      </c>
      <c r="E17" s="6" t="str">
        <f>IF(D17&gt;=3.7,"Excellent",IF(D17&gt;=3,"Good",IF(D17&lt;3,"Poor")))</f>
        <v>Excellent</v>
      </c>
      <c r="G17" s="17"/>
      <c r="H17" s="18"/>
    </row>
    <row r="18" spans="1:8" x14ac:dyDescent="0.2">
      <c r="G18" s="17"/>
      <c r="H18" s="18"/>
    </row>
    <row r="19" spans="1:8" x14ac:dyDescent="0.2">
      <c r="A19" s="16" t="s">
        <v>56</v>
      </c>
      <c r="G19" s="17"/>
      <c r="H19" s="18"/>
    </row>
    <row r="20" spans="1:8" x14ac:dyDescent="0.2">
      <c r="A20" s="16" t="s">
        <v>57</v>
      </c>
    </row>
    <row r="21" spans="1:8" x14ac:dyDescent="0.2">
      <c r="A21" s="6" t="s">
        <v>58</v>
      </c>
      <c r="B21" s="6" t="s">
        <v>59</v>
      </c>
    </row>
    <row r="22" spans="1:8" x14ac:dyDescent="0.2">
      <c r="A22" s="31" t="s">
        <v>60</v>
      </c>
      <c r="B22" s="6">
        <v>4</v>
      </c>
    </row>
    <row r="23" spans="1:8" x14ac:dyDescent="0.2">
      <c r="A23" s="31" t="s">
        <v>61</v>
      </c>
      <c r="B23" s="6">
        <v>3</v>
      </c>
    </row>
    <row r="24" spans="1:8" x14ac:dyDescent="0.2">
      <c r="A24" s="31" t="s">
        <v>62</v>
      </c>
      <c r="B24" s="6">
        <v>2</v>
      </c>
    </row>
    <row r="25" spans="1:8" x14ac:dyDescent="0.2">
      <c r="A25" s="31" t="s">
        <v>63</v>
      </c>
      <c r="B25" s="6">
        <v>1</v>
      </c>
    </row>
    <row r="27" spans="1:8" x14ac:dyDescent="0.2">
      <c r="A27" s="16" t="s">
        <v>64</v>
      </c>
    </row>
    <row r="28" spans="1:8" x14ac:dyDescent="0.2">
      <c r="A28" s="6" t="s">
        <v>65</v>
      </c>
      <c r="B28" s="6" t="s">
        <v>55</v>
      </c>
    </row>
    <row r="29" spans="1:8" ht="22.5" x14ac:dyDescent="0.2">
      <c r="A29" s="35" t="s">
        <v>66</v>
      </c>
      <c r="B29" s="36" t="s">
        <v>67</v>
      </c>
    </row>
    <row r="30" spans="1:8" x14ac:dyDescent="0.2">
      <c r="A30" s="31" t="s">
        <v>68</v>
      </c>
      <c r="B30" s="36" t="s">
        <v>69</v>
      </c>
    </row>
    <row r="31" spans="1:8" x14ac:dyDescent="0.2">
      <c r="A31" s="31" t="s">
        <v>70</v>
      </c>
      <c r="B31" s="36" t="s">
        <v>71</v>
      </c>
    </row>
    <row r="34" spans="1:5" x14ac:dyDescent="0.2">
      <c r="A34" s="112" t="s">
        <v>72</v>
      </c>
      <c r="B34" s="112"/>
      <c r="C34" s="112"/>
      <c r="D34" s="112"/>
      <c r="E34" s="5" t="s">
        <v>73</v>
      </c>
    </row>
    <row r="35" spans="1:5" x14ac:dyDescent="0.2">
      <c r="A35" s="112"/>
      <c r="B35" s="112"/>
      <c r="C35" s="112"/>
      <c r="D35" s="112"/>
      <c r="E35" s="112"/>
    </row>
    <row r="36" spans="1:5" x14ac:dyDescent="0.2">
      <c r="A36" s="112"/>
      <c r="B36" s="112"/>
      <c r="C36" s="112"/>
      <c r="D36" s="112"/>
      <c r="E36" s="112"/>
    </row>
    <row r="37" spans="1:5" x14ac:dyDescent="0.2">
      <c r="A37" s="112"/>
      <c r="B37" s="112"/>
      <c r="C37" s="112"/>
      <c r="D37" s="112"/>
      <c r="E37" s="112"/>
    </row>
    <row r="38" spans="1:5" x14ac:dyDescent="0.2">
      <c r="A38" s="112"/>
      <c r="B38" s="112"/>
      <c r="C38" s="112"/>
      <c r="D38" s="112"/>
      <c r="E38" s="112"/>
    </row>
    <row r="39" spans="1:5" x14ac:dyDescent="0.2">
      <c r="A39" s="112" t="s">
        <v>74</v>
      </c>
      <c r="B39" s="112"/>
      <c r="C39" s="112"/>
      <c r="D39" s="112"/>
      <c r="E39" s="5" t="s">
        <v>75</v>
      </c>
    </row>
    <row r="40" spans="1:5" x14ac:dyDescent="0.2">
      <c r="A40" s="110" t="s">
        <v>76</v>
      </c>
      <c r="B40" s="110"/>
      <c r="C40" s="110"/>
      <c r="D40" s="110"/>
      <c r="E40" s="4" t="s">
        <v>77</v>
      </c>
    </row>
    <row r="41" spans="1:5" ht="15" x14ac:dyDescent="0.2">
      <c r="E41" s="37"/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">
    <cfRule type="containsText" dxfId="55" priority="2" operator="containsText" text="Poor">
      <formula>NOT(ISERROR(SEARCH("Poor",E17)))</formula>
    </cfRule>
    <cfRule type="containsText" dxfId="54" priority="3" operator="containsText" text="Average">
      <formula>NOT(ISERROR(SEARCH("Average",E17)))</formula>
    </cfRule>
    <cfRule type="containsText" dxfId="53" priority="4" operator="containsText" text="Good">
      <formula>NOT(ISERROR(SEARCH("Good",E17)))</formula>
    </cfRule>
    <cfRule type="containsText" dxfId="52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7"/>
  <sheetViews>
    <sheetView zoomScale="89" zoomScaleNormal="89" workbookViewId="0"/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50.28515625" style="37" customWidth="1"/>
    <col min="6" max="6" width="10.7109375" customWidth="1"/>
    <col min="7" max="7" width="10.7109375" style="46" customWidth="1"/>
    <col min="8" max="8" width="10.5703125" customWidth="1"/>
    <col min="10" max="10" width="21.140625" style="16" customWidth="1"/>
    <col min="11" max="11" width="8.85546875" style="16" customWidth="1"/>
    <col min="12" max="12" width="8.7109375" style="16"/>
  </cols>
  <sheetData>
    <row r="1" spans="1:12" ht="14.25" customHeight="1" x14ac:dyDescent="0.25">
      <c r="A1" s="110"/>
      <c r="B1" s="109" t="s">
        <v>30</v>
      </c>
      <c r="C1" s="109"/>
      <c r="D1" s="109"/>
      <c r="E1" s="109"/>
    </row>
    <row r="2" spans="1:12" ht="14.25" customHeight="1" x14ac:dyDescent="0.25">
      <c r="A2" s="110"/>
      <c r="B2" s="109"/>
      <c r="C2" s="109"/>
      <c r="D2" s="109"/>
      <c r="E2" s="109"/>
      <c r="F2" s="16"/>
      <c r="G2" s="47"/>
    </row>
    <row r="3" spans="1:12" x14ac:dyDescent="0.25">
      <c r="A3" s="110"/>
      <c r="B3" s="109"/>
      <c r="C3" s="109"/>
      <c r="D3" s="109"/>
      <c r="E3" s="109"/>
      <c r="F3" s="16"/>
      <c r="G3" s="47"/>
    </row>
    <row r="4" spans="1:12" x14ac:dyDescent="0.25">
      <c r="A4" s="16" t="s">
        <v>31</v>
      </c>
      <c r="B4" s="110" t="s">
        <v>94</v>
      </c>
      <c r="C4" s="110"/>
      <c r="D4" s="110"/>
      <c r="E4" s="110"/>
      <c r="F4" s="48"/>
      <c r="G4" s="49"/>
      <c r="H4" s="50"/>
    </row>
    <row r="5" spans="1:12" x14ac:dyDescent="0.25">
      <c r="A5" s="16" t="s">
        <v>32</v>
      </c>
      <c r="B5" s="110" t="s">
        <v>95</v>
      </c>
      <c r="C5" s="110"/>
      <c r="D5" s="110"/>
      <c r="E5" s="110"/>
      <c r="F5" s="48"/>
      <c r="G5" s="49"/>
      <c r="H5" s="50"/>
    </row>
    <row r="6" spans="1:12" x14ac:dyDescent="0.25">
      <c r="A6" s="16" t="s">
        <v>33</v>
      </c>
      <c r="B6" s="108" t="s">
        <v>34</v>
      </c>
      <c r="C6" s="108"/>
      <c r="D6" s="108"/>
      <c r="E6" s="108"/>
      <c r="F6" s="48"/>
      <c r="G6" s="49"/>
      <c r="H6" s="50"/>
    </row>
    <row r="7" spans="1:12" x14ac:dyDescent="0.25">
      <c r="A7" s="16"/>
      <c r="B7" s="16"/>
      <c r="C7" s="16"/>
      <c r="D7" s="16"/>
      <c r="E7" s="51"/>
      <c r="F7" s="48"/>
      <c r="G7" s="49"/>
      <c r="H7" s="50"/>
    </row>
    <row r="8" spans="1:12" s="54" customFormat="1" ht="22.5" x14ac:dyDescent="0.2">
      <c r="A8" s="52" t="s">
        <v>35</v>
      </c>
      <c r="B8" s="52" t="s">
        <v>36</v>
      </c>
      <c r="C8" s="52" t="s">
        <v>37</v>
      </c>
      <c r="D8" s="52" t="s">
        <v>38</v>
      </c>
      <c r="E8" s="52" t="s">
        <v>39</v>
      </c>
      <c r="F8" s="48"/>
      <c r="G8" s="17"/>
      <c r="H8" s="53"/>
      <c r="J8" s="55"/>
      <c r="K8" s="55"/>
      <c r="L8" s="55"/>
    </row>
    <row r="9" spans="1:12" s="46" customFormat="1" x14ac:dyDescent="0.2">
      <c r="A9" s="23" t="s">
        <v>40</v>
      </c>
      <c r="B9" s="24">
        <v>20</v>
      </c>
      <c r="C9" s="24">
        <v>3</v>
      </c>
      <c r="D9" s="24">
        <f t="shared" ref="D9:D15" si="0">B9*C9</f>
        <v>60</v>
      </c>
      <c r="E9" s="56" t="s">
        <v>96</v>
      </c>
      <c r="F9" s="48"/>
      <c r="G9" s="57">
        <v>46087</v>
      </c>
      <c r="H9" s="58">
        <v>0.35347222222222202</v>
      </c>
      <c r="J9" s="59"/>
      <c r="K9" s="60"/>
      <c r="L9" s="61"/>
    </row>
    <row r="10" spans="1:12" s="46" customFormat="1" ht="22.5" x14ac:dyDescent="0.2">
      <c r="A10" s="23" t="s">
        <v>42</v>
      </c>
      <c r="B10" s="24">
        <v>20</v>
      </c>
      <c r="C10" s="24">
        <v>4</v>
      </c>
      <c r="D10" s="24">
        <f t="shared" si="0"/>
        <v>80</v>
      </c>
      <c r="E10" s="56" t="s">
        <v>97</v>
      </c>
      <c r="F10" s="48"/>
      <c r="G10" s="62"/>
      <c r="H10" s="63"/>
      <c r="J10" s="64"/>
      <c r="K10" s="65"/>
      <c r="L10" s="66"/>
    </row>
    <row r="11" spans="1:12" s="46" customFormat="1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1" t="s">
        <v>98</v>
      </c>
      <c r="F11" s="48"/>
      <c r="G11" s="17"/>
      <c r="H11" s="53"/>
      <c r="J11" s="59"/>
      <c r="K11" s="60"/>
      <c r="L11" s="61"/>
    </row>
    <row r="12" spans="1:12" s="46" customFormat="1" ht="21" customHeight="1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56" t="s">
        <v>99</v>
      </c>
      <c r="F12" s="48"/>
      <c r="G12" s="17"/>
      <c r="H12" s="53"/>
      <c r="J12" s="64"/>
      <c r="K12" s="65"/>
      <c r="L12" s="66"/>
    </row>
    <row r="13" spans="1:12" ht="21.75" customHeight="1" x14ac:dyDescent="0.25">
      <c r="A13" s="23" t="s">
        <v>49</v>
      </c>
      <c r="B13" s="24">
        <v>10</v>
      </c>
      <c r="C13" s="24">
        <v>4</v>
      </c>
      <c r="D13" s="24">
        <f t="shared" si="0"/>
        <v>40</v>
      </c>
      <c r="E13" s="56" t="s">
        <v>90</v>
      </c>
      <c r="F13" s="48"/>
      <c r="G13" s="17"/>
      <c r="H13" s="53"/>
      <c r="I13" s="46"/>
      <c r="J13" s="59"/>
      <c r="K13" s="60"/>
      <c r="L13" s="61"/>
    </row>
    <row r="14" spans="1:12" x14ac:dyDescent="0.25">
      <c r="A14" s="31" t="s">
        <v>51</v>
      </c>
      <c r="B14" s="6">
        <v>5</v>
      </c>
      <c r="C14" s="24">
        <v>4</v>
      </c>
      <c r="D14" s="24">
        <f t="shared" si="0"/>
        <v>20</v>
      </c>
      <c r="E14" s="23" t="s">
        <v>91</v>
      </c>
      <c r="F14" s="48"/>
      <c r="G14" s="17"/>
      <c r="H14" s="53"/>
      <c r="I14" s="46"/>
      <c r="J14" s="64"/>
      <c r="K14" s="65"/>
      <c r="L14" s="66"/>
    </row>
    <row r="15" spans="1:12" x14ac:dyDescent="0.25">
      <c r="A15" s="31" t="s">
        <v>53</v>
      </c>
      <c r="B15" s="6">
        <v>5</v>
      </c>
      <c r="C15" s="6">
        <v>3</v>
      </c>
      <c r="D15" s="6">
        <f t="shared" si="0"/>
        <v>15</v>
      </c>
      <c r="E15" s="67" t="s">
        <v>100</v>
      </c>
      <c r="F15" s="48"/>
      <c r="G15" s="17"/>
      <c r="H15" s="53"/>
      <c r="J15" s="59"/>
      <c r="K15" s="60"/>
      <c r="L15" s="60"/>
    </row>
    <row r="16" spans="1:12" hidden="1" x14ac:dyDescent="0.25">
      <c r="A16" s="32"/>
      <c r="B16" s="4">
        <f>SUM(B9:B15)</f>
        <v>100</v>
      </c>
      <c r="C16" s="16"/>
      <c r="D16" s="4">
        <f>SUM(D9:D15)</f>
        <v>375</v>
      </c>
      <c r="E16" s="51"/>
      <c r="F16" s="16"/>
      <c r="G16" s="17"/>
      <c r="H16" s="53"/>
      <c r="J16" s="64"/>
      <c r="K16" s="65"/>
      <c r="L16" s="65"/>
    </row>
    <row r="17" spans="1:12" x14ac:dyDescent="0.25">
      <c r="A17" s="111" t="s">
        <v>55</v>
      </c>
      <c r="B17" s="111"/>
      <c r="C17" s="111"/>
      <c r="D17" s="33">
        <f>D16/B16</f>
        <v>3.75</v>
      </c>
      <c r="E17" s="68" t="str">
        <f>IF(D17&gt;=3.7,"Excellent",IF(D17&gt;=3,"Good",IF(D17&lt;3,"Poor")))</f>
        <v>Excellent</v>
      </c>
      <c r="F17" s="16"/>
      <c r="G17" s="17"/>
      <c r="H17" s="53"/>
      <c r="J17" s="59"/>
      <c r="K17" s="60"/>
      <c r="L17" s="60"/>
    </row>
    <row r="18" spans="1:12" x14ac:dyDescent="0.25">
      <c r="A18" s="16" t="s">
        <v>56</v>
      </c>
      <c r="B18" s="16"/>
      <c r="C18" s="16"/>
      <c r="D18" s="16"/>
      <c r="E18" s="56"/>
      <c r="G18" s="17"/>
      <c r="H18" s="53"/>
      <c r="J18" s="64"/>
      <c r="K18" s="65"/>
      <c r="L18" s="66"/>
    </row>
    <row r="19" spans="1:12" x14ac:dyDescent="0.25">
      <c r="A19" s="16" t="s">
        <v>57</v>
      </c>
      <c r="B19" s="16"/>
      <c r="C19" s="16"/>
      <c r="D19" s="16"/>
      <c r="E19" s="51"/>
      <c r="G19" s="17"/>
      <c r="H19" s="53"/>
      <c r="J19" s="59"/>
      <c r="K19" s="60"/>
      <c r="L19" s="61"/>
    </row>
    <row r="20" spans="1:12" x14ac:dyDescent="0.25">
      <c r="A20" s="6" t="s">
        <v>58</v>
      </c>
      <c r="B20" s="6" t="s">
        <v>59</v>
      </c>
      <c r="C20" s="16"/>
      <c r="D20" s="16"/>
      <c r="E20" s="51"/>
      <c r="G20" s="17"/>
      <c r="H20" s="53"/>
      <c r="J20" s="64"/>
      <c r="K20" s="65"/>
      <c r="L20" s="66"/>
    </row>
    <row r="21" spans="1:12" x14ac:dyDescent="0.25">
      <c r="A21" s="31" t="s">
        <v>60</v>
      </c>
      <c r="B21" s="6">
        <v>4</v>
      </c>
      <c r="C21" s="16"/>
      <c r="D21" s="16"/>
      <c r="E21" s="51"/>
      <c r="G21" s="17"/>
      <c r="H21" s="53"/>
      <c r="J21" s="59"/>
      <c r="K21" s="60"/>
      <c r="L21" s="61"/>
    </row>
    <row r="22" spans="1:12" x14ac:dyDescent="0.25">
      <c r="A22" s="31" t="s">
        <v>61</v>
      </c>
      <c r="B22" s="6">
        <v>3</v>
      </c>
      <c r="C22" s="16"/>
      <c r="D22" s="16"/>
      <c r="E22" s="51"/>
      <c r="G22" s="17"/>
      <c r="H22" s="53"/>
      <c r="J22" s="64"/>
      <c r="K22" s="65"/>
      <c r="L22" s="66"/>
    </row>
    <row r="23" spans="1:12" x14ac:dyDescent="0.25">
      <c r="A23" s="31" t="s">
        <v>62</v>
      </c>
      <c r="B23" s="6">
        <v>2</v>
      </c>
      <c r="C23" s="16"/>
      <c r="D23" s="16"/>
      <c r="E23" s="51"/>
      <c r="G23" s="17"/>
      <c r="H23" s="53"/>
      <c r="J23" s="59"/>
      <c r="K23" s="60"/>
      <c r="L23" s="61"/>
    </row>
    <row r="24" spans="1:12" x14ac:dyDescent="0.25">
      <c r="A24" s="31" t="s">
        <v>63</v>
      </c>
      <c r="B24" s="6">
        <v>1</v>
      </c>
      <c r="C24" s="16"/>
      <c r="D24" s="16"/>
      <c r="E24" s="51"/>
      <c r="G24" s="17"/>
      <c r="H24" s="53"/>
      <c r="J24" s="64"/>
      <c r="K24" s="65"/>
      <c r="L24" s="66"/>
    </row>
    <row r="25" spans="1:12" x14ac:dyDescent="0.25">
      <c r="A25" s="16" t="s">
        <v>64</v>
      </c>
      <c r="B25" s="16"/>
      <c r="C25" s="16"/>
      <c r="D25" s="16"/>
      <c r="E25" s="51"/>
      <c r="G25" s="17"/>
      <c r="H25" s="53"/>
      <c r="J25" s="59"/>
      <c r="K25" s="60"/>
      <c r="L25" s="60"/>
    </row>
    <row r="26" spans="1:12" x14ac:dyDescent="0.25">
      <c r="A26" s="6" t="s">
        <v>65</v>
      </c>
      <c r="B26" s="6" t="s">
        <v>55</v>
      </c>
      <c r="C26" s="16"/>
      <c r="D26" s="16"/>
      <c r="E26" s="51"/>
      <c r="G26" s="17"/>
      <c r="H26" s="53"/>
      <c r="J26" s="64"/>
      <c r="K26" s="65"/>
      <c r="L26" s="66"/>
    </row>
    <row r="27" spans="1:12" ht="22.5" x14ac:dyDescent="0.25">
      <c r="A27" s="25" t="s">
        <v>66</v>
      </c>
      <c r="B27" s="36" t="s">
        <v>67</v>
      </c>
      <c r="C27" s="16"/>
      <c r="D27" s="16"/>
      <c r="E27" s="51"/>
      <c r="G27" s="17"/>
      <c r="H27" s="53"/>
      <c r="J27" s="59"/>
      <c r="K27" s="60"/>
      <c r="L27" s="61"/>
    </row>
    <row r="28" spans="1:12" x14ac:dyDescent="0.25">
      <c r="A28" s="31" t="s">
        <v>68</v>
      </c>
      <c r="B28" s="36" t="s">
        <v>69</v>
      </c>
      <c r="C28" s="16"/>
      <c r="D28" s="16"/>
      <c r="E28" s="51"/>
      <c r="G28" s="17"/>
      <c r="H28" s="53"/>
      <c r="J28" s="64"/>
      <c r="K28" s="65"/>
      <c r="L28" s="66"/>
    </row>
    <row r="29" spans="1:12" x14ac:dyDescent="0.25">
      <c r="A29" s="31" t="s">
        <v>70</v>
      </c>
      <c r="B29" s="36" t="s">
        <v>71</v>
      </c>
      <c r="C29" s="16"/>
      <c r="D29" s="16"/>
      <c r="E29" s="51"/>
    </row>
    <row r="30" spans="1:12" x14ac:dyDescent="0.25">
      <c r="A30" s="16"/>
      <c r="B30" s="112"/>
      <c r="C30" s="112"/>
      <c r="D30" s="112"/>
      <c r="E30" s="69"/>
    </row>
    <row r="31" spans="1:12" x14ac:dyDescent="0.25">
      <c r="A31" s="112" t="s">
        <v>72</v>
      </c>
      <c r="B31" s="112"/>
      <c r="C31" s="112"/>
      <c r="D31" s="112"/>
      <c r="E31" s="5" t="s">
        <v>73</v>
      </c>
    </row>
    <row r="32" spans="1:12" x14ac:dyDescent="0.25">
      <c r="A32" s="112"/>
      <c r="B32" s="112"/>
      <c r="C32" s="112"/>
      <c r="D32" s="112"/>
      <c r="E32" s="112"/>
    </row>
    <row r="33" spans="1:5" x14ac:dyDescent="0.25">
      <c r="A33" s="112"/>
      <c r="B33" s="112"/>
      <c r="C33" s="112"/>
      <c r="D33" s="112"/>
      <c r="E33" s="112"/>
    </row>
    <row r="34" spans="1:5" x14ac:dyDescent="0.25">
      <c r="A34" s="112"/>
      <c r="B34" s="112"/>
      <c r="C34" s="112"/>
      <c r="D34" s="112"/>
      <c r="E34" s="112"/>
    </row>
    <row r="35" spans="1:5" x14ac:dyDescent="0.25">
      <c r="A35" s="112"/>
      <c r="B35" s="112"/>
      <c r="C35" s="112"/>
      <c r="D35" s="112"/>
      <c r="E35" s="112"/>
    </row>
    <row r="36" spans="1:5" x14ac:dyDescent="0.25">
      <c r="A36" s="112" t="s">
        <v>74</v>
      </c>
      <c r="B36" s="112"/>
      <c r="C36" s="112"/>
      <c r="D36" s="112"/>
      <c r="E36" s="5" t="s">
        <v>75</v>
      </c>
    </row>
    <row r="37" spans="1:5" x14ac:dyDescent="0.25">
      <c r="A37" s="110" t="s">
        <v>76</v>
      </c>
      <c r="B37" s="110"/>
      <c r="C37" s="110"/>
      <c r="D37" s="110"/>
      <c r="E37" s="4" t="s">
        <v>77</v>
      </c>
    </row>
  </sheetData>
  <mergeCells count="12">
    <mergeCell ref="A36:D36"/>
    <mergeCell ref="A37:D37"/>
    <mergeCell ref="A17:C17"/>
    <mergeCell ref="B30:D30"/>
    <mergeCell ref="A31:D31"/>
    <mergeCell ref="A32:D35"/>
    <mergeCell ref="E32:E35"/>
    <mergeCell ref="A1:A3"/>
    <mergeCell ref="B1:E3"/>
    <mergeCell ref="B4:E4"/>
    <mergeCell ref="B5:E5"/>
    <mergeCell ref="B6:E6"/>
  </mergeCells>
  <conditionalFormatting sqref="E17">
    <cfRule type="containsText" dxfId="51" priority="2" operator="containsText" text="Poor">
      <formula>NOT(ISERROR(SEARCH("Poor",E17)))</formula>
    </cfRule>
    <cfRule type="containsText" dxfId="50" priority="3" operator="containsText" text="Average">
      <formula>NOT(ISERROR(SEARCH("Average",E17)))</formula>
    </cfRule>
    <cfRule type="containsText" dxfId="49" priority="4" operator="containsText" text="Good">
      <formula>NOT(ISERROR(SEARCH("Good",E17)))</formula>
    </cfRule>
    <cfRule type="containsText" dxfId="48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paperSize="5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7"/>
  <sheetViews>
    <sheetView zoomScale="89" zoomScaleNormal="89" workbookViewId="0">
      <selection activeCell="B6" sqref="B6:E6"/>
    </sheetView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50.28515625" style="37" customWidth="1"/>
    <col min="6" max="6" width="10.7109375" customWidth="1"/>
    <col min="7" max="7" width="10.7109375" style="46" customWidth="1"/>
    <col min="8" max="8" width="10.85546875" customWidth="1"/>
    <col min="10" max="10" width="21.140625" style="16" customWidth="1"/>
    <col min="11" max="11" width="8.85546875" style="16" customWidth="1"/>
    <col min="12" max="12" width="8.7109375" style="16"/>
  </cols>
  <sheetData>
    <row r="1" spans="1:12" ht="14.25" customHeight="1" x14ac:dyDescent="0.25">
      <c r="A1" s="110"/>
      <c r="B1" s="109" t="s">
        <v>30</v>
      </c>
      <c r="C1" s="109"/>
      <c r="D1" s="109"/>
      <c r="E1" s="109"/>
    </row>
    <row r="2" spans="1:12" ht="14.25" customHeight="1" x14ac:dyDescent="0.25">
      <c r="A2" s="110"/>
      <c r="B2" s="109"/>
      <c r="C2" s="109"/>
      <c r="D2" s="109"/>
      <c r="E2" s="109"/>
      <c r="F2" s="16"/>
      <c r="G2" s="47"/>
    </row>
    <row r="3" spans="1:12" x14ac:dyDescent="0.25">
      <c r="A3" s="110"/>
      <c r="B3" s="109"/>
      <c r="C3" s="109"/>
      <c r="D3" s="109"/>
      <c r="E3" s="109"/>
      <c r="F3" s="16"/>
      <c r="G3" s="47"/>
    </row>
    <row r="4" spans="1:12" x14ac:dyDescent="0.25">
      <c r="A4" s="16" t="s">
        <v>31</v>
      </c>
      <c r="B4" s="110" t="s">
        <v>101</v>
      </c>
      <c r="C4" s="110"/>
      <c r="D4" s="110"/>
      <c r="E4" s="110"/>
      <c r="F4" s="48"/>
      <c r="G4" s="49"/>
      <c r="H4" s="50"/>
    </row>
    <row r="5" spans="1:12" x14ac:dyDescent="0.25">
      <c r="A5" s="16" t="s">
        <v>32</v>
      </c>
      <c r="B5" s="110" t="s">
        <v>95</v>
      </c>
      <c r="C5" s="110"/>
      <c r="D5" s="110"/>
      <c r="E5" s="110"/>
      <c r="F5" s="48"/>
      <c r="G5" s="49"/>
      <c r="H5" s="50"/>
    </row>
    <row r="6" spans="1:12" x14ac:dyDescent="0.25">
      <c r="A6" s="16" t="s">
        <v>33</v>
      </c>
      <c r="B6" s="108" t="s">
        <v>148</v>
      </c>
      <c r="C6" s="108"/>
      <c r="D6" s="108"/>
      <c r="E6" s="108"/>
      <c r="F6" s="48"/>
      <c r="G6" s="49"/>
      <c r="H6" s="50"/>
    </row>
    <row r="7" spans="1:12" x14ac:dyDescent="0.25">
      <c r="A7" s="16"/>
      <c r="B7" s="16"/>
      <c r="C7" s="16"/>
      <c r="D7" s="16"/>
      <c r="E7" s="51"/>
      <c r="F7" s="48"/>
      <c r="G7" s="49"/>
      <c r="H7" s="50"/>
    </row>
    <row r="8" spans="1:12" s="54" customFormat="1" ht="22.5" x14ac:dyDescent="0.2">
      <c r="A8" s="52" t="s">
        <v>35</v>
      </c>
      <c r="B8" s="52" t="s">
        <v>36</v>
      </c>
      <c r="C8" s="52" t="s">
        <v>37</v>
      </c>
      <c r="D8" s="52" t="s">
        <v>38</v>
      </c>
      <c r="E8" s="52" t="s">
        <v>39</v>
      </c>
      <c r="F8" s="48"/>
      <c r="G8" s="17"/>
      <c r="H8" s="18"/>
      <c r="J8" s="70"/>
      <c r="K8" s="70"/>
      <c r="L8" s="70"/>
    </row>
    <row r="9" spans="1:12" s="46" customFormat="1" x14ac:dyDescent="0.2">
      <c r="A9" s="23" t="s">
        <v>40</v>
      </c>
      <c r="B9" s="24">
        <v>20</v>
      </c>
      <c r="C9" s="24">
        <v>3</v>
      </c>
      <c r="D9" s="24">
        <f t="shared" ref="D9:D15" si="0">B9*C9</f>
        <v>60</v>
      </c>
      <c r="E9" s="56" t="s">
        <v>96</v>
      </c>
      <c r="F9" s="48"/>
      <c r="G9" s="17"/>
      <c r="H9" s="18"/>
      <c r="J9" s="71"/>
      <c r="K9" s="72"/>
      <c r="L9" s="73"/>
    </row>
    <row r="10" spans="1:12" s="46" customFormat="1" ht="22.5" x14ac:dyDescent="0.2">
      <c r="A10" s="23" t="s">
        <v>42</v>
      </c>
      <c r="B10" s="24">
        <v>20</v>
      </c>
      <c r="C10" s="24">
        <v>4</v>
      </c>
      <c r="D10" s="24">
        <f t="shared" si="0"/>
        <v>80</v>
      </c>
      <c r="E10" s="56" t="s">
        <v>97</v>
      </c>
      <c r="F10" s="48"/>
      <c r="G10" s="17"/>
      <c r="H10" s="18"/>
      <c r="J10" s="74"/>
      <c r="K10" s="75"/>
      <c r="L10" s="76"/>
    </row>
    <row r="11" spans="1:12" s="46" customFormat="1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1" t="s">
        <v>105</v>
      </c>
      <c r="F11" s="48"/>
      <c r="G11" s="17"/>
      <c r="H11" s="18"/>
      <c r="J11" s="71"/>
      <c r="K11" s="72"/>
      <c r="L11" s="73"/>
    </row>
    <row r="12" spans="1:12" s="46" customFormat="1" ht="21" customHeight="1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56" t="s">
        <v>99</v>
      </c>
      <c r="F12" s="48"/>
      <c r="G12" s="17"/>
      <c r="H12" s="18"/>
      <c r="J12" s="74"/>
      <c r="K12" s="75"/>
      <c r="L12" s="76"/>
    </row>
    <row r="13" spans="1:12" ht="21.75" customHeight="1" x14ac:dyDescent="0.25">
      <c r="A13" s="23" t="s">
        <v>49</v>
      </c>
      <c r="B13" s="24">
        <v>10</v>
      </c>
      <c r="C13" s="24">
        <v>4</v>
      </c>
      <c r="D13" s="24">
        <f t="shared" si="0"/>
        <v>40</v>
      </c>
      <c r="E13" s="56" t="s">
        <v>90</v>
      </c>
      <c r="F13" s="48"/>
      <c r="G13" s="17"/>
      <c r="H13" s="18"/>
      <c r="I13" s="46"/>
      <c r="J13" s="71"/>
      <c r="K13" s="72"/>
      <c r="L13" s="73"/>
    </row>
    <row r="14" spans="1:12" x14ac:dyDescent="0.25">
      <c r="A14" s="31" t="s">
        <v>51</v>
      </c>
      <c r="B14" s="6">
        <v>5</v>
      </c>
      <c r="C14" s="24">
        <v>4</v>
      </c>
      <c r="D14" s="24">
        <f t="shared" si="0"/>
        <v>20</v>
      </c>
      <c r="E14" s="23" t="s">
        <v>91</v>
      </c>
      <c r="F14" s="48"/>
      <c r="G14" s="17"/>
      <c r="H14" s="18"/>
      <c r="I14" s="46"/>
      <c r="J14" s="74"/>
      <c r="K14" s="75"/>
      <c r="L14" s="76"/>
    </row>
    <row r="15" spans="1:12" x14ac:dyDescent="0.25">
      <c r="A15" s="31" t="s">
        <v>53</v>
      </c>
      <c r="B15" s="6">
        <v>5</v>
      </c>
      <c r="C15" s="6">
        <v>3</v>
      </c>
      <c r="D15" s="6">
        <f t="shared" si="0"/>
        <v>15</v>
      </c>
      <c r="E15" s="67" t="s">
        <v>100</v>
      </c>
      <c r="F15" s="48"/>
      <c r="G15" s="17"/>
      <c r="H15" s="18"/>
      <c r="J15" s="71"/>
      <c r="K15" s="72"/>
      <c r="L15" s="72"/>
    </row>
    <row r="16" spans="1:12" hidden="1" x14ac:dyDescent="0.25">
      <c r="A16" s="32"/>
      <c r="B16" s="4">
        <f>SUM(B9:B15)</f>
        <v>100</v>
      </c>
      <c r="C16" s="16"/>
      <c r="D16" s="4">
        <f>SUM(D9:D15)</f>
        <v>375</v>
      </c>
      <c r="E16" s="51"/>
      <c r="F16" s="16"/>
      <c r="G16" s="17"/>
      <c r="H16" s="18"/>
      <c r="J16" s="74"/>
      <c r="K16" s="75"/>
      <c r="L16" s="75"/>
    </row>
    <row r="17" spans="1:12" x14ac:dyDescent="0.25">
      <c r="A17" s="111" t="s">
        <v>55</v>
      </c>
      <c r="B17" s="111"/>
      <c r="C17" s="111"/>
      <c r="D17" s="33">
        <f>D16/B16</f>
        <v>3.75</v>
      </c>
      <c r="E17" s="68" t="str">
        <f>IF(D17&gt;=3.7,"Excellent",IF(D17&gt;=3,"Good",IF(D17&lt;3,"Poor")))</f>
        <v>Excellent</v>
      </c>
      <c r="F17" s="16"/>
      <c r="G17" s="17"/>
      <c r="H17" s="18"/>
      <c r="J17" s="71"/>
      <c r="K17" s="72"/>
      <c r="L17" s="72"/>
    </row>
    <row r="18" spans="1:12" x14ac:dyDescent="0.25">
      <c r="A18" s="16" t="s">
        <v>56</v>
      </c>
      <c r="B18" s="16"/>
      <c r="C18" s="16"/>
      <c r="D18" s="16"/>
      <c r="E18" s="56"/>
      <c r="G18" s="17"/>
      <c r="H18" s="18"/>
      <c r="J18" s="74"/>
      <c r="K18" s="75"/>
      <c r="L18" s="76"/>
    </row>
    <row r="19" spans="1:12" x14ac:dyDescent="0.25">
      <c r="A19" s="16" t="s">
        <v>57</v>
      </c>
      <c r="B19" s="16"/>
      <c r="C19" s="16"/>
      <c r="D19" s="16"/>
      <c r="E19" s="51"/>
      <c r="G19" s="17"/>
      <c r="H19" s="18"/>
      <c r="J19" s="71"/>
      <c r="K19" s="72"/>
      <c r="L19" s="73"/>
    </row>
    <row r="20" spans="1:12" x14ac:dyDescent="0.25">
      <c r="A20" s="6" t="s">
        <v>58</v>
      </c>
      <c r="B20" s="6" t="s">
        <v>59</v>
      </c>
      <c r="C20" s="16"/>
      <c r="D20" s="16"/>
      <c r="E20" s="51"/>
      <c r="G20" s="17"/>
      <c r="H20" s="18"/>
      <c r="J20" s="74"/>
      <c r="K20" s="75"/>
      <c r="L20" s="76"/>
    </row>
    <row r="21" spans="1:12" x14ac:dyDescent="0.25">
      <c r="A21" s="31" t="s">
        <v>60</v>
      </c>
      <c r="B21" s="6">
        <v>4</v>
      </c>
      <c r="C21" s="16"/>
      <c r="D21" s="16"/>
      <c r="E21" s="51"/>
      <c r="G21" s="17"/>
      <c r="H21" s="18"/>
      <c r="J21" s="71"/>
      <c r="K21" s="72"/>
      <c r="L21" s="73"/>
    </row>
    <row r="22" spans="1:12" x14ac:dyDescent="0.25">
      <c r="A22" s="31" t="s">
        <v>61</v>
      </c>
      <c r="B22" s="6">
        <v>3</v>
      </c>
      <c r="C22" s="16"/>
      <c r="D22" s="16"/>
      <c r="E22" s="51"/>
      <c r="G22" s="17"/>
      <c r="H22" s="18"/>
      <c r="J22" s="74"/>
      <c r="K22" s="75"/>
      <c r="L22" s="76"/>
    </row>
    <row r="23" spans="1:12" x14ac:dyDescent="0.25">
      <c r="A23" s="31" t="s">
        <v>62</v>
      </c>
      <c r="B23" s="6">
        <v>2</v>
      </c>
      <c r="C23" s="16"/>
      <c r="D23" s="16"/>
      <c r="E23" s="51"/>
      <c r="G23" s="17"/>
      <c r="H23" s="18"/>
      <c r="J23" s="71"/>
      <c r="K23" s="72"/>
      <c r="L23" s="73"/>
    </row>
    <row r="24" spans="1:12" x14ac:dyDescent="0.25">
      <c r="A24" s="31" t="s">
        <v>63</v>
      </c>
      <c r="B24" s="6">
        <v>1</v>
      </c>
      <c r="C24" s="16"/>
      <c r="D24" s="16"/>
      <c r="E24" s="51"/>
      <c r="G24" s="17"/>
      <c r="H24" s="18"/>
      <c r="J24" s="74"/>
      <c r="K24" s="75"/>
      <c r="L24" s="76"/>
    </row>
    <row r="25" spans="1:12" x14ac:dyDescent="0.25">
      <c r="A25" s="16" t="s">
        <v>64</v>
      </c>
      <c r="B25" s="16"/>
      <c r="C25" s="16"/>
      <c r="D25" s="16"/>
      <c r="E25" s="51"/>
      <c r="G25" s="17"/>
      <c r="H25" s="18"/>
      <c r="J25" s="71"/>
      <c r="K25" s="72"/>
      <c r="L25" s="72"/>
    </row>
    <row r="26" spans="1:12" x14ac:dyDescent="0.25">
      <c r="A26" s="6" t="s">
        <v>65</v>
      </c>
      <c r="B26" s="6" t="s">
        <v>55</v>
      </c>
      <c r="C26" s="16"/>
      <c r="D26" s="16"/>
      <c r="E26" s="51"/>
      <c r="G26" s="17"/>
      <c r="H26" s="18"/>
      <c r="J26" s="74"/>
      <c r="K26" s="75"/>
      <c r="L26" s="76"/>
    </row>
    <row r="27" spans="1:12" ht="22.5" x14ac:dyDescent="0.25">
      <c r="A27" s="25" t="s">
        <v>66</v>
      </c>
      <c r="B27" s="36" t="s">
        <v>67</v>
      </c>
      <c r="C27" s="16"/>
      <c r="D27" s="16"/>
      <c r="E27" s="51"/>
      <c r="G27" s="17"/>
      <c r="H27" s="18"/>
      <c r="J27" s="71"/>
      <c r="K27" s="72"/>
      <c r="L27" s="73"/>
    </row>
    <row r="28" spans="1:12" x14ac:dyDescent="0.25">
      <c r="A28" s="31" t="s">
        <v>68</v>
      </c>
      <c r="B28" s="36" t="s">
        <v>69</v>
      </c>
      <c r="C28" s="16"/>
      <c r="D28" s="16"/>
      <c r="E28" s="51"/>
      <c r="G28" s="17"/>
      <c r="H28" s="18"/>
      <c r="J28" s="74"/>
      <c r="K28" s="75"/>
      <c r="L28" s="76"/>
    </row>
    <row r="29" spans="1:12" x14ac:dyDescent="0.25">
      <c r="A29" s="31" t="s">
        <v>70</v>
      </c>
      <c r="B29" s="36" t="s">
        <v>71</v>
      </c>
      <c r="C29" s="16"/>
      <c r="D29" s="16"/>
      <c r="E29" s="51"/>
    </row>
    <row r="30" spans="1:12" x14ac:dyDescent="0.25">
      <c r="A30" s="16"/>
      <c r="B30" s="112"/>
      <c r="C30" s="112"/>
      <c r="D30" s="112"/>
      <c r="E30" s="69"/>
    </row>
    <row r="31" spans="1:12" x14ac:dyDescent="0.25">
      <c r="A31" s="112" t="s">
        <v>72</v>
      </c>
      <c r="B31" s="112"/>
      <c r="C31" s="112"/>
      <c r="D31" s="112"/>
      <c r="E31" s="5" t="s">
        <v>73</v>
      </c>
    </row>
    <row r="32" spans="1:12" x14ac:dyDescent="0.25">
      <c r="A32" s="112"/>
      <c r="B32" s="112"/>
      <c r="C32" s="112"/>
      <c r="D32" s="112"/>
      <c r="E32" s="112"/>
    </row>
    <row r="33" spans="1:5" x14ac:dyDescent="0.25">
      <c r="A33" s="112"/>
      <c r="B33" s="112"/>
      <c r="C33" s="112"/>
      <c r="D33" s="112"/>
      <c r="E33" s="112"/>
    </row>
    <row r="34" spans="1:5" x14ac:dyDescent="0.25">
      <c r="A34" s="112"/>
      <c r="B34" s="112"/>
      <c r="C34" s="112"/>
      <c r="D34" s="112"/>
      <c r="E34" s="112"/>
    </row>
    <row r="35" spans="1:5" x14ac:dyDescent="0.25">
      <c r="A35" s="112"/>
      <c r="B35" s="112"/>
      <c r="C35" s="112"/>
      <c r="D35" s="112"/>
      <c r="E35" s="112"/>
    </row>
    <row r="36" spans="1:5" x14ac:dyDescent="0.25">
      <c r="A36" s="112" t="s">
        <v>74</v>
      </c>
      <c r="B36" s="112"/>
      <c r="C36" s="112"/>
      <c r="D36" s="112"/>
      <c r="E36" s="5" t="s">
        <v>75</v>
      </c>
    </row>
    <row r="37" spans="1:5" x14ac:dyDescent="0.25">
      <c r="A37" s="110" t="s">
        <v>76</v>
      </c>
      <c r="B37" s="110"/>
      <c r="C37" s="110"/>
      <c r="D37" s="110"/>
      <c r="E37" s="4" t="s">
        <v>77</v>
      </c>
    </row>
  </sheetData>
  <mergeCells count="12">
    <mergeCell ref="A36:D36"/>
    <mergeCell ref="A37:D37"/>
    <mergeCell ref="A17:C17"/>
    <mergeCell ref="B30:D30"/>
    <mergeCell ref="A31:D31"/>
    <mergeCell ref="A32:D35"/>
    <mergeCell ref="E32:E35"/>
    <mergeCell ref="A1:A3"/>
    <mergeCell ref="B1:E3"/>
    <mergeCell ref="B4:E4"/>
    <mergeCell ref="B5:E5"/>
    <mergeCell ref="B6:E6"/>
  </mergeCells>
  <conditionalFormatting sqref="E17">
    <cfRule type="containsText" dxfId="47" priority="2" operator="containsText" text="Poor">
      <formula>NOT(ISERROR(SEARCH("Poor",E17)))</formula>
    </cfRule>
    <cfRule type="containsText" dxfId="46" priority="3" operator="containsText" text="Average">
      <formula>NOT(ISERROR(SEARCH("Average",E17)))</formula>
    </cfRule>
    <cfRule type="containsText" dxfId="45" priority="4" operator="containsText" text="Good">
      <formula>NOT(ISERROR(SEARCH("Good",E17)))</formula>
    </cfRule>
    <cfRule type="containsText" dxfId="44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paperSize="5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7"/>
  <sheetViews>
    <sheetView topLeftCell="A4" zoomScale="89" zoomScaleNormal="89" workbookViewId="0">
      <selection activeCell="B6" sqref="B6:E6"/>
    </sheetView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41.28515625" style="77" customWidth="1"/>
    <col min="6" max="6" width="10.7109375" customWidth="1"/>
    <col min="7" max="7" width="10.7109375" style="46" customWidth="1"/>
    <col min="8" max="8" width="11.140625" customWidth="1"/>
    <col min="9" max="9" width="10.140625" customWidth="1"/>
  </cols>
  <sheetData>
    <row r="1" spans="1:15" ht="14.25" customHeight="1" x14ac:dyDescent="0.25">
      <c r="A1" s="110"/>
      <c r="B1" s="109" t="s">
        <v>30</v>
      </c>
      <c r="C1" s="109"/>
      <c r="D1" s="109"/>
      <c r="E1" s="109"/>
      <c r="F1" s="16"/>
      <c r="G1" s="19"/>
    </row>
    <row r="2" spans="1:15" ht="14.25" customHeight="1" x14ac:dyDescent="0.25">
      <c r="A2" s="110"/>
      <c r="B2" s="109"/>
      <c r="C2" s="109"/>
      <c r="D2" s="109"/>
      <c r="E2" s="109"/>
    </row>
    <row r="3" spans="1:15" x14ac:dyDescent="0.25">
      <c r="A3" s="110"/>
      <c r="B3" s="109"/>
      <c r="C3" s="109"/>
      <c r="D3" s="109"/>
      <c r="E3" s="109"/>
    </row>
    <row r="4" spans="1:15" x14ac:dyDescent="0.25">
      <c r="A4" s="16" t="s">
        <v>31</v>
      </c>
      <c r="B4" s="110" t="s">
        <v>15</v>
      </c>
      <c r="C4" s="110"/>
      <c r="D4" s="110"/>
      <c r="E4" s="110"/>
    </row>
    <row r="5" spans="1:15" x14ac:dyDescent="0.25">
      <c r="A5" s="16" t="s">
        <v>32</v>
      </c>
      <c r="B5" s="110" t="s">
        <v>16</v>
      </c>
      <c r="C5" s="110"/>
      <c r="D5" s="110"/>
      <c r="E5" s="110"/>
    </row>
    <row r="6" spans="1:15" x14ac:dyDescent="0.25">
      <c r="A6" s="16" t="s">
        <v>33</v>
      </c>
      <c r="B6" s="108" t="s">
        <v>148</v>
      </c>
      <c r="C6" s="108"/>
      <c r="D6" s="108"/>
      <c r="E6" s="108"/>
    </row>
    <row r="7" spans="1:15" x14ac:dyDescent="0.25">
      <c r="A7" s="16"/>
      <c r="B7" s="16"/>
      <c r="C7" s="16"/>
      <c r="D7" s="16"/>
      <c r="E7" s="38"/>
    </row>
    <row r="8" spans="1:15" s="46" customFormat="1" ht="22.5" x14ac:dyDescent="0.1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22"/>
      <c r="H8" s="22"/>
      <c r="I8" s="22"/>
      <c r="J8" s="22"/>
      <c r="K8" s="22"/>
      <c r="L8" s="22"/>
      <c r="M8" s="22"/>
      <c r="N8" s="22"/>
      <c r="O8" s="22"/>
    </row>
    <row r="9" spans="1:15" s="46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106</v>
      </c>
      <c r="G9" s="2"/>
      <c r="H9" s="3"/>
      <c r="I9" s="3"/>
      <c r="J9" s="27"/>
      <c r="K9" s="28"/>
      <c r="L9" s="28"/>
      <c r="M9" s="28"/>
      <c r="N9" s="29"/>
      <c r="O9" s="30"/>
    </row>
    <row r="10" spans="1:15" s="46" customFormat="1" x14ac:dyDescent="0.1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107</v>
      </c>
      <c r="G10" s="2"/>
      <c r="H10" s="3"/>
      <c r="I10" s="3"/>
      <c r="J10" s="27"/>
      <c r="K10" s="28"/>
      <c r="L10" s="28"/>
      <c r="M10" s="28"/>
      <c r="N10" s="29"/>
      <c r="O10" s="30"/>
    </row>
    <row r="11" spans="1:15" s="46" customFormat="1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1" t="s">
        <v>108</v>
      </c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5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109</v>
      </c>
      <c r="F12" s="46"/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5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46"/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5">
      <c r="A14" s="31" t="s">
        <v>51</v>
      </c>
      <c r="B14" s="6">
        <v>5</v>
      </c>
      <c r="C14" s="6">
        <v>4</v>
      </c>
      <c r="D14" s="6">
        <f t="shared" si="0"/>
        <v>20</v>
      </c>
      <c r="E14" s="31" t="s">
        <v>111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5">
      <c r="A15" s="31" t="s">
        <v>53</v>
      </c>
      <c r="B15" s="6">
        <v>5</v>
      </c>
      <c r="C15" s="6">
        <v>2</v>
      </c>
      <c r="D15" s="6">
        <f t="shared" si="0"/>
        <v>10</v>
      </c>
      <c r="E15" s="35" t="s">
        <v>112</v>
      </c>
      <c r="G15" s="2"/>
      <c r="H15" s="3"/>
      <c r="I15" s="3"/>
      <c r="J15" s="27"/>
      <c r="K15" s="28"/>
      <c r="L15" s="28"/>
      <c r="M15" s="28"/>
      <c r="N15" s="29"/>
      <c r="O15" s="30"/>
    </row>
    <row r="16" spans="1:15" hidden="1" x14ac:dyDescent="0.25">
      <c r="A16" s="32"/>
      <c r="B16" s="4">
        <f>SUM(B9:B15)</f>
        <v>100</v>
      </c>
      <c r="C16" s="16"/>
      <c r="D16" s="4">
        <f>SUM(D9:D15)</f>
        <v>390</v>
      </c>
      <c r="E16" s="38"/>
      <c r="G16" s="2"/>
      <c r="H16" s="3"/>
      <c r="I16" s="3"/>
      <c r="J16" s="27"/>
      <c r="K16" s="28"/>
      <c r="L16" s="28"/>
      <c r="M16" s="28"/>
      <c r="N16" s="29"/>
      <c r="O16" s="30"/>
    </row>
    <row r="17" spans="1:15" x14ac:dyDescent="0.25">
      <c r="A17" s="111" t="s">
        <v>55</v>
      </c>
      <c r="B17" s="111"/>
      <c r="C17" s="111"/>
      <c r="D17" s="33">
        <f>D16/B16</f>
        <v>3.9</v>
      </c>
      <c r="E17" s="39" t="str">
        <f>IF(D17&gt;=3.7,"Excellent",IF(D17&gt;=3,"Good",IF(D17&lt;3,"Poor")))</f>
        <v>Excellent</v>
      </c>
      <c r="G17" s="2"/>
      <c r="H17" s="3"/>
      <c r="I17" s="3"/>
      <c r="J17" s="27"/>
      <c r="K17" s="28"/>
      <c r="L17" s="28"/>
      <c r="M17" s="28"/>
      <c r="N17" s="29"/>
      <c r="O17" s="30"/>
    </row>
    <row r="18" spans="1:15" x14ac:dyDescent="0.25">
      <c r="A18" s="16" t="s">
        <v>56</v>
      </c>
      <c r="B18" s="16"/>
      <c r="C18" s="16"/>
      <c r="D18" s="16"/>
      <c r="E18" s="38"/>
      <c r="G18" s="2"/>
      <c r="H18" s="3"/>
      <c r="I18" s="3"/>
      <c r="J18" s="27"/>
      <c r="K18" s="28"/>
      <c r="L18" s="28"/>
      <c r="M18" s="28"/>
      <c r="N18" s="29"/>
      <c r="O18" s="30"/>
    </row>
    <row r="19" spans="1:15" x14ac:dyDescent="0.25">
      <c r="A19" s="16" t="s">
        <v>57</v>
      </c>
      <c r="B19" s="16"/>
      <c r="C19" s="16"/>
      <c r="D19" s="16"/>
      <c r="E19" s="38"/>
      <c r="G19" s="2"/>
      <c r="H19" s="3"/>
      <c r="I19" s="3"/>
      <c r="J19" s="27"/>
      <c r="K19" s="28"/>
      <c r="L19" s="28"/>
      <c r="M19" s="28"/>
      <c r="N19" s="29"/>
      <c r="O19" s="30"/>
    </row>
    <row r="20" spans="1:15" x14ac:dyDescent="0.25">
      <c r="A20" s="6" t="s">
        <v>58</v>
      </c>
      <c r="B20" s="6" t="s">
        <v>59</v>
      </c>
      <c r="C20" s="16"/>
      <c r="D20" s="16"/>
      <c r="E20" s="38"/>
      <c r="G20" s="2"/>
      <c r="H20" s="3"/>
      <c r="I20" s="3"/>
      <c r="J20" s="27"/>
      <c r="K20" s="28"/>
      <c r="L20" s="28"/>
      <c r="M20" s="28"/>
      <c r="N20" s="29"/>
      <c r="O20" s="30"/>
    </row>
    <row r="21" spans="1:15" x14ac:dyDescent="0.25">
      <c r="A21" s="31" t="s">
        <v>60</v>
      </c>
      <c r="B21" s="6">
        <v>4</v>
      </c>
      <c r="C21" s="16"/>
      <c r="D21" s="16"/>
      <c r="E21" s="38"/>
      <c r="G21" s="2"/>
      <c r="H21" s="3"/>
      <c r="I21" s="3"/>
      <c r="J21" s="27"/>
      <c r="K21" s="28"/>
      <c r="L21" s="28"/>
      <c r="M21" s="28"/>
      <c r="N21" s="29"/>
      <c r="O21" s="30"/>
    </row>
    <row r="22" spans="1:15" x14ac:dyDescent="0.25">
      <c r="A22" s="31" t="s">
        <v>61</v>
      </c>
      <c r="B22" s="6">
        <v>3</v>
      </c>
      <c r="C22" s="16"/>
      <c r="D22" s="16"/>
      <c r="E22" s="38"/>
      <c r="G22" s="2"/>
      <c r="H22" s="3"/>
      <c r="I22" s="3"/>
      <c r="J22" s="27"/>
      <c r="K22" s="28"/>
      <c r="L22" s="28"/>
      <c r="M22" s="28"/>
      <c r="N22" s="29"/>
      <c r="O22" s="30"/>
    </row>
    <row r="23" spans="1:15" x14ac:dyDescent="0.25">
      <c r="A23" s="31" t="s">
        <v>62</v>
      </c>
      <c r="B23" s="6">
        <v>2</v>
      </c>
      <c r="C23" s="16"/>
      <c r="D23" s="16"/>
      <c r="E23" s="38"/>
      <c r="G23" s="2"/>
      <c r="H23" s="3"/>
      <c r="I23" s="3"/>
      <c r="J23" s="27"/>
      <c r="K23" s="28"/>
      <c r="L23" s="28"/>
      <c r="M23" s="28"/>
      <c r="N23" s="29"/>
      <c r="O23" s="30"/>
    </row>
    <row r="24" spans="1:15" x14ac:dyDescent="0.25">
      <c r="A24" s="31" t="s">
        <v>63</v>
      </c>
      <c r="B24" s="6">
        <v>1</v>
      </c>
      <c r="C24" s="16"/>
      <c r="D24" s="16"/>
      <c r="E24" s="38"/>
      <c r="G24" s="2"/>
      <c r="H24" s="3"/>
      <c r="I24" s="3"/>
      <c r="J24" s="27"/>
      <c r="K24" s="28"/>
      <c r="L24" s="28"/>
      <c r="M24" s="28"/>
      <c r="N24" s="29"/>
      <c r="O24" s="30"/>
    </row>
    <row r="25" spans="1:15" x14ac:dyDescent="0.25">
      <c r="A25" s="16" t="s">
        <v>64</v>
      </c>
      <c r="B25" s="16"/>
      <c r="C25" s="16"/>
      <c r="D25" s="16"/>
      <c r="E25" s="38"/>
      <c r="G25" s="62"/>
      <c r="H25" s="78"/>
    </row>
    <row r="26" spans="1:15" x14ac:dyDescent="0.25">
      <c r="A26" s="6" t="s">
        <v>65</v>
      </c>
      <c r="B26" s="6" t="s">
        <v>55</v>
      </c>
      <c r="C26" s="16"/>
      <c r="D26" s="16"/>
      <c r="E26" s="38"/>
      <c r="G26" s="17"/>
      <c r="H26" s="18"/>
      <c r="I26" s="44"/>
    </row>
    <row r="27" spans="1:15" ht="23.25" x14ac:dyDescent="0.25">
      <c r="A27" s="35" t="s">
        <v>66</v>
      </c>
      <c r="B27" s="36" t="s">
        <v>67</v>
      </c>
      <c r="C27" s="16"/>
      <c r="D27" s="16"/>
      <c r="E27" s="38"/>
      <c r="G27" s="34"/>
      <c r="H27" s="18"/>
      <c r="I27" s="44"/>
    </row>
    <row r="28" spans="1:15" x14ac:dyDescent="0.25">
      <c r="A28" s="31" t="s">
        <v>68</v>
      </c>
      <c r="B28" s="36" t="s">
        <v>69</v>
      </c>
      <c r="C28" s="16"/>
      <c r="D28" s="16"/>
      <c r="E28" s="38"/>
      <c r="G28" s="34"/>
      <c r="H28" s="18"/>
      <c r="I28" s="44"/>
    </row>
    <row r="29" spans="1:15" x14ac:dyDescent="0.25">
      <c r="A29" s="31" t="s">
        <v>70</v>
      </c>
      <c r="B29" s="36" t="s">
        <v>71</v>
      </c>
      <c r="C29" s="16"/>
      <c r="D29" s="16"/>
      <c r="E29" s="38"/>
      <c r="F29" s="16"/>
      <c r="G29" s="34"/>
      <c r="H29" s="18"/>
    </row>
    <row r="30" spans="1:15" x14ac:dyDescent="0.25">
      <c r="A30" s="16"/>
      <c r="B30" s="112"/>
      <c r="C30" s="112"/>
      <c r="D30" s="112"/>
      <c r="E30" s="79"/>
      <c r="F30" s="16"/>
      <c r="G30" s="34"/>
      <c r="H30" s="18"/>
    </row>
    <row r="31" spans="1:15" x14ac:dyDescent="0.25">
      <c r="A31" s="112" t="s">
        <v>72</v>
      </c>
      <c r="B31" s="112"/>
      <c r="C31" s="112"/>
      <c r="D31" s="112"/>
      <c r="E31" s="5" t="s">
        <v>73</v>
      </c>
      <c r="F31" s="16"/>
      <c r="G31" s="42"/>
      <c r="H31" s="44"/>
    </row>
    <row r="32" spans="1:15" x14ac:dyDescent="0.25">
      <c r="A32" s="112"/>
      <c r="B32" s="112"/>
      <c r="C32" s="112"/>
      <c r="D32" s="112"/>
      <c r="E32" s="112"/>
    </row>
    <row r="33" spans="1:5" x14ac:dyDescent="0.25">
      <c r="A33" s="112"/>
      <c r="B33" s="112"/>
      <c r="C33" s="112"/>
      <c r="D33" s="112"/>
      <c r="E33" s="112"/>
    </row>
    <row r="34" spans="1:5" x14ac:dyDescent="0.25">
      <c r="A34" s="112"/>
      <c r="B34" s="112"/>
      <c r="C34" s="112"/>
      <c r="D34" s="112"/>
      <c r="E34" s="112"/>
    </row>
    <row r="35" spans="1:5" x14ac:dyDescent="0.25">
      <c r="A35" s="112"/>
      <c r="B35" s="112"/>
      <c r="C35" s="112"/>
      <c r="D35" s="112"/>
      <c r="E35" s="112"/>
    </row>
    <row r="36" spans="1:5" x14ac:dyDescent="0.25">
      <c r="A36" s="112" t="s">
        <v>74</v>
      </c>
      <c r="B36" s="112"/>
      <c r="C36" s="112"/>
      <c r="D36" s="112"/>
      <c r="E36" s="5" t="s">
        <v>75</v>
      </c>
    </row>
    <row r="37" spans="1:5" x14ac:dyDescent="0.25">
      <c r="A37" s="110" t="s">
        <v>76</v>
      </c>
      <c r="B37" s="110"/>
      <c r="C37" s="110"/>
      <c r="D37" s="110"/>
      <c r="E37" s="4" t="s">
        <v>77</v>
      </c>
    </row>
  </sheetData>
  <mergeCells count="12">
    <mergeCell ref="A36:D36"/>
    <mergeCell ref="A37:D37"/>
    <mergeCell ref="A17:C17"/>
    <mergeCell ref="B30:D30"/>
    <mergeCell ref="A31:D31"/>
    <mergeCell ref="A32:D35"/>
    <mergeCell ref="E32:E35"/>
    <mergeCell ref="A1:A3"/>
    <mergeCell ref="B1:E3"/>
    <mergeCell ref="B4:E4"/>
    <mergeCell ref="B5:E5"/>
    <mergeCell ref="B6:E6"/>
  </mergeCells>
  <conditionalFormatting sqref="E17">
    <cfRule type="containsText" dxfId="43" priority="2" operator="containsText" text="Poor">
      <formula>NOT(ISERROR(SEARCH("Poor",E17)))</formula>
    </cfRule>
    <cfRule type="containsText" dxfId="42" priority="3" operator="containsText" text="Average">
      <formula>NOT(ISERROR(SEARCH("Average",E17)))</formula>
    </cfRule>
    <cfRule type="containsText" dxfId="41" priority="4" operator="containsText" text="Good">
      <formula>NOT(ISERROR(SEARCH("Good",E17)))</formula>
    </cfRule>
    <cfRule type="containsText" dxfId="40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84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32.28515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48.7109375" style="38" customWidth="1"/>
    <col min="6" max="6" width="10.7109375" style="16" customWidth="1"/>
    <col min="7" max="7" width="14.7109375" style="16" customWidth="1"/>
    <col min="8" max="8" width="11" style="16" customWidth="1"/>
    <col min="9" max="9" width="8.7109375" style="16"/>
    <col min="10" max="10" width="11.42578125" style="16" customWidth="1"/>
    <col min="11" max="16384" width="8.7109375" style="16"/>
  </cols>
  <sheetData>
    <row r="1" spans="1:15" ht="14.25" customHeight="1" x14ac:dyDescent="0.2">
      <c r="A1" s="110"/>
      <c r="B1" s="109" t="s">
        <v>30</v>
      </c>
      <c r="C1" s="109"/>
      <c r="D1" s="109"/>
      <c r="E1" s="109"/>
      <c r="F1" s="112"/>
      <c r="G1" s="112"/>
      <c r="H1" s="5"/>
    </row>
    <row r="2" spans="1:15" ht="14.25" customHeight="1" x14ac:dyDescent="0.2">
      <c r="A2" s="110"/>
      <c r="B2" s="109"/>
      <c r="C2" s="109"/>
      <c r="D2" s="109"/>
      <c r="E2" s="109"/>
      <c r="G2" s="48"/>
      <c r="H2" s="49"/>
    </row>
    <row r="3" spans="1:15" x14ac:dyDescent="0.2">
      <c r="A3" s="110"/>
      <c r="B3" s="109"/>
      <c r="C3" s="109"/>
      <c r="D3" s="109"/>
      <c r="E3" s="109"/>
      <c r="G3" s="48"/>
      <c r="H3" s="49"/>
    </row>
    <row r="4" spans="1:15" x14ac:dyDescent="0.2">
      <c r="A4" s="16" t="s">
        <v>31</v>
      </c>
      <c r="B4" s="110" t="s">
        <v>145</v>
      </c>
      <c r="C4" s="110"/>
      <c r="D4" s="110"/>
      <c r="E4" s="110"/>
      <c r="G4" s="48"/>
      <c r="H4" s="49"/>
    </row>
    <row r="5" spans="1:15" x14ac:dyDescent="0.2">
      <c r="A5" s="16" t="s">
        <v>32</v>
      </c>
      <c r="B5" s="110" t="s">
        <v>18</v>
      </c>
      <c r="C5" s="110"/>
      <c r="D5" s="110"/>
      <c r="E5" s="110"/>
      <c r="G5" s="48"/>
      <c r="H5" s="49"/>
    </row>
    <row r="6" spans="1:15" x14ac:dyDescent="0.2">
      <c r="A6" s="16" t="s">
        <v>33</v>
      </c>
      <c r="B6" s="108" t="s">
        <v>148</v>
      </c>
      <c r="C6" s="108"/>
      <c r="D6" s="108"/>
      <c r="E6" s="108"/>
      <c r="G6" s="48"/>
      <c r="H6" s="49"/>
    </row>
    <row r="7" spans="1:15" x14ac:dyDescent="0.2">
      <c r="B7" s="8"/>
      <c r="C7" s="8"/>
      <c r="D7" s="8"/>
      <c r="E7" s="8"/>
      <c r="G7" s="48"/>
      <c r="H7" s="49"/>
    </row>
    <row r="8" spans="1:15" s="19" customFormat="1" ht="22.5" x14ac:dyDescent="0.1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113</v>
      </c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3</v>
      </c>
      <c r="D10" s="24">
        <f t="shared" si="0"/>
        <v>60</v>
      </c>
      <c r="E10" s="25" t="s">
        <v>114</v>
      </c>
      <c r="G10" s="2"/>
      <c r="H10" s="3"/>
      <c r="I10" s="3"/>
      <c r="J10" s="27"/>
      <c r="K10" s="28"/>
      <c r="L10" s="28"/>
      <c r="M10" s="28"/>
      <c r="N10" s="29"/>
      <c r="O10" s="30"/>
    </row>
    <row r="11" spans="1:15" s="19" customFormat="1" x14ac:dyDescent="0.15">
      <c r="A11" s="23" t="s">
        <v>45</v>
      </c>
      <c r="B11" s="24">
        <v>20</v>
      </c>
      <c r="C11" s="24">
        <v>3</v>
      </c>
      <c r="D11" s="24">
        <f t="shared" si="0"/>
        <v>60</v>
      </c>
      <c r="E11" s="25" t="s">
        <v>115</v>
      </c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116</v>
      </c>
      <c r="F12" s="19"/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19"/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">
      <c r="A14" s="31" t="s">
        <v>51</v>
      </c>
      <c r="B14" s="6">
        <v>5</v>
      </c>
      <c r="C14" s="6">
        <v>3</v>
      </c>
      <c r="D14" s="24">
        <f t="shared" si="0"/>
        <v>15</v>
      </c>
      <c r="E14" s="31" t="s">
        <v>91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">
      <c r="A15" s="31" t="s">
        <v>53</v>
      </c>
      <c r="B15" s="6">
        <v>5</v>
      </c>
      <c r="C15" s="6">
        <v>2</v>
      </c>
      <c r="D15" s="6">
        <f t="shared" si="0"/>
        <v>10</v>
      </c>
      <c r="E15" s="35" t="s">
        <v>112</v>
      </c>
      <c r="G15" s="2"/>
      <c r="H15" s="3"/>
      <c r="I15" s="3"/>
      <c r="J15" s="27"/>
      <c r="K15" s="28"/>
      <c r="L15" s="28"/>
      <c r="M15" s="28"/>
      <c r="N15" s="29"/>
      <c r="O15" s="30"/>
    </row>
    <row r="16" spans="1:15" ht="15" hidden="1" customHeight="1" x14ac:dyDescent="0.2">
      <c r="A16" s="32"/>
      <c r="B16" s="4">
        <f>SUM(B9:B15)</f>
        <v>100</v>
      </c>
      <c r="D16" s="4">
        <f>SUM(D9:D15)</f>
        <v>345</v>
      </c>
      <c r="G16" s="2"/>
      <c r="H16" s="3"/>
      <c r="I16" s="3"/>
      <c r="J16" s="27"/>
      <c r="K16" s="28"/>
      <c r="L16" s="28"/>
      <c r="M16" s="28"/>
      <c r="N16" s="29"/>
      <c r="O16" s="30"/>
    </row>
    <row r="17" spans="1:15" x14ac:dyDescent="0.2">
      <c r="A17" s="111" t="s">
        <v>55</v>
      </c>
      <c r="B17" s="111"/>
      <c r="C17" s="111"/>
      <c r="D17" s="33">
        <f>D16/B16</f>
        <v>3.45</v>
      </c>
      <c r="E17" s="39" t="str">
        <f>IF(D17&gt;=3.7,"Excellent",IF(D17&gt;=3,"Good",IF(D17&lt;3,"Poor")))</f>
        <v>Good</v>
      </c>
      <c r="G17" s="2"/>
      <c r="H17" s="3"/>
      <c r="I17" s="3"/>
      <c r="J17" s="27"/>
      <c r="K17" s="28"/>
      <c r="L17" s="28"/>
      <c r="M17" s="28"/>
      <c r="N17" s="29"/>
      <c r="O17" s="30"/>
    </row>
    <row r="18" spans="1:15" x14ac:dyDescent="0.2">
      <c r="A18" s="16" t="s">
        <v>56</v>
      </c>
      <c r="G18" s="2"/>
      <c r="H18" s="3"/>
      <c r="I18" s="3"/>
      <c r="J18" s="27"/>
      <c r="K18" s="28"/>
      <c r="L18" s="28"/>
      <c r="M18" s="28"/>
      <c r="N18" s="29"/>
      <c r="O18" s="30"/>
    </row>
    <row r="19" spans="1:15" x14ac:dyDescent="0.2">
      <c r="A19" s="16" t="s">
        <v>57</v>
      </c>
      <c r="G19" s="2"/>
      <c r="H19" s="3"/>
      <c r="I19" s="3"/>
      <c r="J19" s="27"/>
      <c r="K19" s="28"/>
      <c r="L19" s="28"/>
      <c r="M19" s="28"/>
      <c r="N19" s="29"/>
      <c r="O19" s="30"/>
    </row>
    <row r="20" spans="1:15" x14ac:dyDescent="0.2">
      <c r="A20" s="6" t="s">
        <v>58</v>
      </c>
      <c r="B20" s="6" t="s">
        <v>59</v>
      </c>
      <c r="G20" s="2"/>
      <c r="H20" s="3"/>
      <c r="I20" s="3"/>
      <c r="J20" s="27"/>
      <c r="K20" s="28"/>
      <c r="L20" s="28"/>
      <c r="M20" s="28"/>
      <c r="N20" s="29"/>
      <c r="O20" s="30"/>
    </row>
    <row r="21" spans="1:15" x14ac:dyDescent="0.2">
      <c r="A21" s="31" t="s">
        <v>60</v>
      </c>
      <c r="B21" s="6">
        <v>4</v>
      </c>
      <c r="G21" s="17"/>
      <c r="H21" s="18"/>
      <c r="J21" s="64"/>
      <c r="K21" s="65"/>
      <c r="L21" s="65"/>
    </row>
    <row r="22" spans="1:15" x14ac:dyDescent="0.2">
      <c r="A22" s="31" t="s">
        <v>61</v>
      </c>
      <c r="B22" s="6">
        <v>3</v>
      </c>
      <c r="G22" s="17"/>
      <c r="H22" s="18"/>
      <c r="J22" s="64"/>
      <c r="K22" s="65"/>
      <c r="L22" s="65"/>
    </row>
    <row r="23" spans="1:15" x14ac:dyDescent="0.2">
      <c r="A23" s="31" t="s">
        <v>62</v>
      </c>
      <c r="B23" s="6">
        <v>2</v>
      </c>
      <c r="G23" s="17"/>
      <c r="H23" s="18"/>
      <c r="J23" s="64"/>
      <c r="K23" s="65"/>
      <c r="L23" s="65"/>
    </row>
    <row r="24" spans="1:15" x14ac:dyDescent="0.2">
      <c r="A24" s="31" t="s">
        <v>63</v>
      </c>
      <c r="B24" s="6">
        <v>1</v>
      </c>
      <c r="G24" s="17"/>
      <c r="H24" s="18"/>
      <c r="J24" s="64"/>
      <c r="K24" s="65"/>
      <c r="L24" s="65"/>
    </row>
    <row r="25" spans="1:15" x14ac:dyDescent="0.2">
      <c r="A25" s="80" t="s">
        <v>64</v>
      </c>
      <c r="G25" s="17"/>
      <c r="H25" s="18"/>
      <c r="J25" s="64"/>
      <c r="K25" s="65"/>
      <c r="L25" s="65"/>
    </row>
    <row r="26" spans="1:15" x14ac:dyDescent="0.2">
      <c r="A26" s="6" t="s">
        <v>65</v>
      </c>
      <c r="B26" s="6" t="s">
        <v>55</v>
      </c>
      <c r="G26" s="17"/>
      <c r="H26" s="18"/>
      <c r="J26" s="64"/>
      <c r="K26" s="65"/>
      <c r="L26" s="65"/>
    </row>
    <row r="27" spans="1:15" ht="22.5" x14ac:dyDescent="0.2">
      <c r="A27" s="35" t="s">
        <v>66</v>
      </c>
      <c r="B27" s="36" t="s">
        <v>67</v>
      </c>
      <c r="G27" s="17"/>
      <c r="H27" s="18"/>
      <c r="J27" s="64"/>
      <c r="K27" s="65"/>
      <c r="L27" s="65"/>
    </row>
    <row r="28" spans="1:15" x14ac:dyDescent="0.2">
      <c r="A28" s="31" t="s">
        <v>68</v>
      </c>
      <c r="B28" s="36" t="s">
        <v>69</v>
      </c>
      <c r="G28" s="17"/>
      <c r="H28" s="18"/>
      <c r="J28" s="64"/>
      <c r="K28" s="65"/>
      <c r="L28" s="65"/>
    </row>
    <row r="29" spans="1:15" x14ac:dyDescent="0.2">
      <c r="A29" s="31" t="s">
        <v>70</v>
      </c>
      <c r="B29" s="36" t="s">
        <v>71</v>
      </c>
      <c r="G29" s="17"/>
      <c r="H29" s="18"/>
      <c r="J29" s="64"/>
      <c r="K29" s="65"/>
      <c r="L29" s="65"/>
    </row>
    <row r="30" spans="1:15" x14ac:dyDescent="0.2">
      <c r="B30" s="112"/>
      <c r="C30" s="112"/>
      <c r="D30" s="112"/>
      <c r="E30" s="79"/>
      <c r="F30" s="19"/>
      <c r="G30" s="17"/>
      <c r="H30" s="18"/>
      <c r="J30" s="64"/>
      <c r="K30" s="65"/>
      <c r="L30" s="65"/>
    </row>
    <row r="31" spans="1:15" x14ac:dyDescent="0.2">
      <c r="A31" s="112" t="s">
        <v>72</v>
      </c>
      <c r="B31" s="112"/>
      <c r="C31" s="112"/>
      <c r="D31" s="112"/>
      <c r="E31" s="5" t="s">
        <v>73</v>
      </c>
      <c r="F31" s="19"/>
      <c r="G31" s="34"/>
      <c r="H31" s="18"/>
      <c r="J31" s="64"/>
      <c r="K31" s="65"/>
      <c r="L31" s="65"/>
    </row>
    <row r="32" spans="1:15" x14ac:dyDescent="0.2">
      <c r="A32" s="112"/>
      <c r="B32" s="112"/>
      <c r="C32" s="112"/>
      <c r="D32" s="112"/>
      <c r="E32" s="112"/>
      <c r="F32" s="19"/>
      <c r="G32" s="34"/>
      <c r="H32" s="18"/>
      <c r="J32" s="64"/>
      <c r="K32" s="65"/>
      <c r="L32" s="65"/>
    </row>
    <row r="33" spans="1:12" x14ac:dyDescent="0.2">
      <c r="A33" s="112"/>
      <c r="B33" s="112"/>
      <c r="C33" s="112"/>
      <c r="D33" s="112"/>
      <c r="E33" s="112"/>
      <c r="F33" s="19"/>
      <c r="G33" s="81"/>
      <c r="J33" s="64"/>
      <c r="K33" s="65"/>
      <c r="L33" s="65"/>
    </row>
    <row r="34" spans="1:12" x14ac:dyDescent="0.2">
      <c r="A34" s="112"/>
      <c r="B34" s="112"/>
      <c r="C34" s="112"/>
      <c r="D34" s="112"/>
      <c r="E34" s="112"/>
      <c r="F34" s="19"/>
      <c r="G34" s="81"/>
      <c r="J34" s="64"/>
      <c r="K34" s="65"/>
      <c r="L34" s="65"/>
    </row>
    <row r="35" spans="1:12" x14ac:dyDescent="0.2">
      <c r="A35" s="112"/>
      <c r="B35" s="112"/>
      <c r="C35" s="112"/>
      <c r="D35" s="112"/>
      <c r="E35" s="112"/>
      <c r="F35" s="114"/>
      <c r="G35" s="114"/>
      <c r="J35" s="64"/>
      <c r="K35" s="65"/>
      <c r="L35" s="65"/>
    </row>
    <row r="36" spans="1:12" x14ac:dyDescent="0.2">
      <c r="A36" s="112" t="s">
        <v>74</v>
      </c>
      <c r="B36" s="112"/>
      <c r="C36" s="112"/>
      <c r="D36" s="112"/>
      <c r="E36" s="5" t="s">
        <v>75</v>
      </c>
      <c r="G36" s="82"/>
      <c r="J36" s="64"/>
      <c r="K36" s="65"/>
      <c r="L36" s="65"/>
    </row>
    <row r="37" spans="1:12" x14ac:dyDescent="0.2">
      <c r="A37" s="110" t="s">
        <v>76</v>
      </c>
      <c r="B37" s="110"/>
      <c r="C37" s="110"/>
      <c r="D37" s="110"/>
      <c r="E37" s="4" t="s">
        <v>77</v>
      </c>
      <c r="G37" s="82"/>
      <c r="J37" s="64"/>
      <c r="K37" s="65"/>
      <c r="L37" s="65"/>
    </row>
    <row r="38" spans="1:12" x14ac:dyDescent="0.2">
      <c r="G38" s="82"/>
      <c r="J38" s="64"/>
      <c r="K38" s="65"/>
      <c r="L38" s="65"/>
    </row>
    <row r="39" spans="1:12" x14ac:dyDescent="0.2">
      <c r="G39" s="82"/>
      <c r="J39" s="64"/>
      <c r="K39" s="65"/>
      <c r="L39" s="65"/>
    </row>
    <row r="40" spans="1:12" x14ac:dyDescent="0.2">
      <c r="F40" s="19"/>
      <c r="G40" s="81"/>
      <c r="J40" s="64"/>
      <c r="K40" s="65"/>
      <c r="L40" s="65"/>
    </row>
    <row r="41" spans="1:12" x14ac:dyDescent="0.2">
      <c r="F41" s="19"/>
      <c r="G41" s="81"/>
      <c r="J41" s="64"/>
      <c r="K41" s="65"/>
      <c r="L41" s="65"/>
    </row>
    <row r="42" spans="1:12" x14ac:dyDescent="0.2">
      <c r="F42" s="19"/>
      <c r="G42" s="81"/>
      <c r="J42" s="64"/>
      <c r="K42" s="65"/>
      <c r="L42" s="65"/>
    </row>
    <row r="43" spans="1:12" x14ac:dyDescent="0.2">
      <c r="F43" s="19"/>
      <c r="G43" s="81"/>
      <c r="J43" s="64"/>
      <c r="K43" s="65"/>
      <c r="L43" s="65"/>
    </row>
    <row r="44" spans="1:12" x14ac:dyDescent="0.2">
      <c r="F44" s="19"/>
      <c r="G44" s="81"/>
      <c r="J44" s="64"/>
      <c r="K44" s="65"/>
      <c r="L44" s="65"/>
    </row>
    <row r="45" spans="1:12" x14ac:dyDescent="0.2">
      <c r="F45" s="19"/>
      <c r="G45" s="81"/>
      <c r="J45" s="64"/>
      <c r="K45" s="65"/>
      <c r="L45" s="65"/>
    </row>
    <row r="46" spans="1:12" x14ac:dyDescent="0.2">
      <c r="F46" s="19"/>
      <c r="G46" s="81"/>
      <c r="J46" s="64"/>
      <c r="K46" s="65"/>
      <c r="L46" s="65"/>
    </row>
    <row r="47" spans="1:12" x14ac:dyDescent="0.2">
      <c r="F47" s="19"/>
      <c r="G47" s="81"/>
      <c r="J47" s="64"/>
      <c r="K47" s="65"/>
      <c r="L47" s="65"/>
    </row>
    <row r="48" spans="1:12" x14ac:dyDescent="0.2">
      <c r="F48" s="19"/>
      <c r="G48" s="81"/>
      <c r="J48" s="64"/>
      <c r="K48" s="65"/>
      <c r="L48" s="65"/>
    </row>
    <row r="49" spans="6:12" x14ac:dyDescent="0.2">
      <c r="F49" s="19"/>
      <c r="G49" s="81"/>
      <c r="J49" s="64"/>
      <c r="K49" s="65"/>
      <c r="L49" s="65"/>
    </row>
    <row r="50" spans="6:12" x14ac:dyDescent="0.2">
      <c r="F50" s="19"/>
      <c r="G50" s="81"/>
      <c r="J50" s="64"/>
      <c r="K50" s="65"/>
      <c r="L50" s="65"/>
    </row>
    <row r="51" spans="6:12" x14ac:dyDescent="0.2">
      <c r="J51" s="64"/>
      <c r="K51" s="65"/>
      <c r="L51" s="65"/>
    </row>
    <row r="52" spans="6:12" x14ac:dyDescent="0.2">
      <c r="J52" s="64"/>
      <c r="K52" s="65"/>
      <c r="L52" s="65"/>
    </row>
    <row r="53" spans="6:12" x14ac:dyDescent="0.2">
      <c r="J53" s="64"/>
      <c r="K53" s="65"/>
      <c r="L53" s="65"/>
    </row>
    <row r="54" spans="6:12" x14ac:dyDescent="0.2">
      <c r="J54" s="64"/>
      <c r="K54" s="65"/>
      <c r="L54" s="65"/>
    </row>
    <row r="55" spans="6:12" x14ac:dyDescent="0.2">
      <c r="J55" s="64"/>
      <c r="K55" s="65"/>
      <c r="L55" s="65"/>
    </row>
    <row r="56" spans="6:12" x14ac:dyDescent="0.2">
      <c r="J56" s="64"/>
      <c r="K56" s="65"/>
      <c r="L56" s="65"/>
    </row>
    <row r="57" spans="6:12" x14ac:dyDescent="0.2">
      <c r="J57" s="64"/>
      <c r="K57" s="65"/>
      <c r="L57" s="65"/>
    </row>
    <row r="58" spans="6:12" x14ac:dyDescent="0.2">
      <c r="J58" s="64"/>
      <c r="K58" s="65"/>
      <c r="L58" s="65"/>
    </row>
    <row r="59" spans="6:12" x14ac:dyDescent="0.2">
      <c r="J59" s="64"/>
      <c r="K59" s="65"/>
      <c r="L59" s="65"/>
    </row>
    <row r="60" spans="6:12" x14ac:dyDescent="0.2">
      <c r="J60" s="64"/>
      <c r="K60" s="65"/>
      <c r="L60" s="65"/>
    </row>
    <row r="61" spans="6:12" x14ac:dyDescent="0.2">
      <c r="J61" s="64"/>
      <c r="K61" s="65"/>
      <c r="L61" s="65"/>
    </row>
    <row r="62" spans="6:12" x14ac:dyDescent="0.2">
      <c r="J62" s="64"/>
      <c r="K62" s="65"/>
      <c r="L62" s="65"/>
    </row>
    <row r="63" spans="6:12" x14ac:dyDescent="0.2">
      <c r="J63" s="64"/>
      <c r="K63" s="65"/>
      <c r="L63" s="65"/>
    </row>
    <row r="64" spans="6:12" x14ac:dyDescent="0.2">
      <c r="J64" s="64"/>
      <c r="K64" s="65"/>
      <c r="L64" s="65"/>
    </row>
    <row r="65" spans="10:12" x14ac:dyDescent="0.2">
      <c r="J65" s="64"/>
      <c r="K65" s="65"/>
      <c r="L65" s="65"/>
    </row>
    <row r="66" spans="10:12" x14ac:dyDescent="0.2">
      <c r="J66" s="64"/>
      <c r="K66" s="65"/>
      <c r="L66" s="65"/>
    </row>
    <row r="67" spans="10:12" x14ac:dyDescent="0.2">
      <c r="J67" s="64"/>
      <c r="K67" s="65"/>
      <c r="L67" s="65"/>
    </row>
    <row r="68" spans="10:12" x14ac:dyDescent="0.2">
      <c r="J68" s="64"/>
      <c r="K68" s="65"/>
      <c r="L68" s="65"/>
    </row>
    <row r="69" spans="10:12" x14ac:dyDescent="0.2">
      <c r="J69" s="64"/>
      <c r="K69" s="65"/>
      <c r="L69" s="65"/>
    </row>
    <row r="70" spans="10:12" x14ac:dyDescent="0.2">
      <c r="J70" s="64"/>
      <c r="K70" s="65"/>
      <c r="L70" s="65"/>
    </row>
    <row r="71" spans="10:12" x14ac:dyDescent="0.2">
      <c r="J71" s="64"/>
      <c r="K71" s="65"/>
      <c r="L71" s="65"/>
    </row>
    <row r="72" spans="10:12" x14ac:dyDescent="0.2">
      <c r="J72" s="64"/>
      <c r="K72" s="65"/>
      <c r="L72" s="65"/>
    </row>
    <row r="73" spans="10:12" x14ac:dyDescent="0.2">
      <c r="J73" s="64"/>
      <c r="K73" s="65"/>
      <c r="L73" s="65"/>
    </row>
    <row r="74" spans="10:12" x14ac:dyDescent="0.2">
      <c r="J74" s="64"/>
      <c r="K74" s="65"/>
      <c r="L74" s="65"/>
    </row>
    <row r="75" spans="10:12" x14ac:dyDescent="0.2">
      <c r="J75" s="64"/>
      <c r="K75" s="65"/>
      <c r="L75" s="65"/>
    </row>
    <row r="76" spans="10:12" x14ac:dyDescent="0.2">
      <c r="J76" s="64"/>
      <c r="K76" s="65"/>
      <c r="L76" s="65"/>
    </row>
    <row r="77" spans="10:12" x14ac:dyDescent="0.2">
      <c r="J77" s="64"/>
      <c r="K77" s="65"/>
      <c r="L77" s="65"/>
    </row>
    <row r="78" spans="10:12" x14ac:dyDescent="0.2">
      <c r="J78" s="64"/>
      <c r="K78" s="65"/>
      <c r="L78" s="65"/>
    </row>
    <row r="79" spans="10:12" x14ac:dyDescent="0.2">
      <c r="J79" s="64"/>
      <c r="K79" s="65"/>
      <c r="L79" s="65"/>
    </row>
    <row r="80" spans="10:12" x14ac:dyDescent="0.2">
      <c r="J80" s="64"/>
      <c r="K80" s="65"/>
      <c r="L80" s="65"/>
    </row>
    <row r="81" spans="10:12" x14ac:dyDescent="0.2">
      <c r="J81" s="64"/>
      <c r="K81" s="65"/>
      <c r="L81" s="65"/>
    </row>
    <row r="82" spans="10:12" x14ac:dyDescent="0.2">
      <c r="J82" s="64"/>
      <c r="K82" s="65"/>
      <c r="L82" s="65"/>
    </row>
    <row r="83" spans="10:12" x14ac:dyDescent="0.2">
      <c r="J83" s="64"/>
      <c r="K83" s="65"/>
      <c r="L83" s="65"/>
    </row>
    <row r="84" spans="10:12" x14ac:dyDescent="0.2">
      <c r="J84" s="64"/>
      <c r="K84" s="65"/>
      <c r="L84" s="65"/>
    </row>
  </sheetData>
  <mergeCells count="14">
    <mergeCell ref="F35:G35"/>
    <mergeCell ref="A36:D36"/>
    <mergeCell ref="A37:D37"/>
    <mergeCell ref="B6:E6"/>
    <mergeCell ref="A17:C17"/>
    <mergeCell ref="B30:D30"/>
    <mergeCell ref="A31:D31"/>
    <mergeCell ref="A32:D35"/>
    <mergeCell ref="E32:E35"/>
    <mergeCell ref="A1:A3"/>
    <mergeCell ref="B1:E3"/>
    <mergeCell ref="F1:G1"/>
    <mergeCell ref="B4:E4"/>
    <mergeCell ref="B5:E5"/>
  </mergeCells>
  <conditionalFormatting sqref="E17">
    <cfRule type="containsText" dxfId="39" priority="2" operator="containsText" text="Poor">
      <formula>NOT(ISERROR(SEARCH("Poor",E17)))</formula>
    </cfRule>
    <cfRule type="containsText" dxfId="38" priority="3" operator="containsText" text="Average">
      <formula>NOT(ISERROR(SEARCH("Average",E17)))</formula>
    </cfRule>
    <cfRule type="containsText" dxfId="37" priority="4" operator="containsText" text="Good">
      <formula>NOT(ISERROR(SEARCH("Good",E17)))</formula>
    </cfRule>
    <cfRule type="containsText" dxfId="36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3CA7-F77E-4105-9C29-B0433AA67BD1}">
  <dimension ref="A1:O84"/>
  <sheetViews>
    <sheetView zoomScale="89" zoomScaleNormal="89" workbookViewId="0">
      <selection activeCell="G8" sqref="G8:O20"/>
    </sheetView>
  </sheetViews>
  <sheetFormatPr defaultColWidth="8.7109375" defaultRowHeight="11.25" x14ac:dyDescent="0.2"/>
  <cols>
    <col min="1" max="1" width="32.28515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48.7109375" style="38" customWidth="1"/>
    <col min="6" max="6" width="10.7109375" style="16" customWidth="1"/>
    <col min="7" max="7" width="14.7109375" style="16" customWidth="1"/>
    <col min="8" max="8" width="11" style="16" customWidth="1"/>
    <col min="9" max="9" width="8.7109375" style="16"/>
    <col min="10" max="10" width="11.42578125" style="16" customWidth="1"/>
    <col min="11" max="16384" width="8.7109375" style="16"/>
  </cols>
  <sheetData>
    <row r="1" spans="1:15" ht="14.25" customHeight="1" x14ac:dyDescent="0.2">
      <c r="A1" s="110"/>
      <c r="B1" s="109" t="s">
        <v>30</v>
      </c>
      <c r="C1" s="109"/>
      <c r="D1" s="109"/>
      <c r="E1" s="109"/>
      <c r="F1" s="112"/>
      <c r="G1" s="112"/>
      <c r="H1" s="5"/>
    </row>
    <row r="2" spans="1:15" ht="14.25" customHeight="1" x14ac:dyDescent="0.2">
      <c r="A2" s="110"/>
      <c r="B2" s="109"/>
      <c r="C2" s="109"/>
      <c r="D2" s="109"/>
      <c r="E2" s="109"/>
      <c r="G2" s="48"/>
      <c r="H2" s="49"/>
    </row>
    <row r="3" spans="1:15" x14ac:dyDescent="0.2">
      <c r="A3" s="110"/>
      <c r="B3" s="109"/>
      <c r="C3" s="109"/>
      <c r="D3" s="109"/>
      <c r="E3" s="109"/>
      <c r="G3" s="48"/>
      <c r="H3" s="49"/>
    </row>
    <row r="4" spans="1:15" x14ac:dyDescent="0.2">
      <c r="A4" s="16" t="s">
        <v>31</v>
      </c>
      <c r="B4" s="110" t="s">
        <v>146</v>
      </c>
      <c r="C4" s="110"/>
      <c r="D4" s="110"/>
      <c r="E4" s="110"/>
      <c r="G4" s="48"/>
      <c r="H4" s="49"/>
    </row>
    <row r="5" spans="1:15" x14ac:dyDescent="0.2">
      <c r="A5" s="16" t="s">
        <v>32</v>
      </c>
      <c r="B5" s="110" t="s">
        <v>18</v>
      </c>
      <c r="C5" s="110"/>
      <c r="D5" s="110"/>
      <c r="E5" s="110"/>
      <c r="G5" s="48"/>
      <c r="H5" s="49"/>
    </row>
    <row r="6" spans="1:15" x14ac:dyDescent="0.2">
      <c r="A6" s="16" t="s">
        <v>33</v>
      </c>
      <c r="B6" s="108" t="s">
        <v>147</v>
      </c>
      <c r="C6" s="108"/>
      <c r="D6" s="108"/>
      <c r="E6" s="108"/>
      <c r="G6" s="48"/>
      <c r="H6" s="49"/>
    </row>
    <row r="7" spans="1:15" x14ac:dyDescent="0.2">
      <c r="B7" s="8"/>
      <c r="C7" s="8"/>
      <c r="D7" s="8"/>
      <c r="E7" s="8"/>
      <c r="G7" s="48"/>
      <c r="H7" s="49"/>
    </row>
    <row r="8" spans="1:15" s="19" customFormat="1" ht="22.5" x14ac:dyDescent="0.1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113</v>
      </c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2</v>
      </c>
      <c r="D10" s="24">
        <f t="shared" si="0"/>
        <v>40</v>
      </c>
      <c r="E10" s="25" t="s">
        <v>114</v>
      </c>
      <c r="G10" s="2"/>
      <c r="H10" s="3"/>
      <c r="I10" s="3"/>
      <c r="J10" s="27"/>
      <c r="K10" s="28"/>
      <c r="L10" s="28"/>
      <c r="M10" s="28"/>
      <c r="N10" s="29"/>
      <c r="O10" s="30"/>
    </row>
    <row r="11" spans="1:15" s="19" customFormat="1" x14ac:dyDescent="0.15">
      <c r="A11" s="23" t="s">
        <v>45</v>
      </c>
      <c r="B11" s="24">
        <v>20</v>
      </c>
      <c r="C11" s="24">
        <v>3</v>
      </c>
      <c r="D11" s="24">
        <f t="shared" si="0"/>
        <v>60</v>
      </c>
      <c r="E11" s="25" t="s">
        <v>115</v>
      </c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3</v>
      </c>
      <c r="D12" s="24">
        <f t="shared" si="0"/>
        <v>60</v>
      </c>
      <c r="E12" s="25" t="s">
        <v>116</v>
      </c>
      <c r="F12" s="19"/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19"/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">
      <c r="A14" s="31" t="s">
        <v>51</v>
      </c>
      <c r="B14" s="6">
        <v>5</v>
      </c>
      <c r="C14" s="6">
        <v>3</v>
      </c>
      <c r="D14" s="24">
        <f t="shared" si="0"/>
        <v>15</v>
      </c>
      <c r="E14" s="31" t="s">
        <v>91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">
      <c r="A15" s="31" t="s">
        <v>53</v>
      </c>
      <c r="B15" s="6">
        <v>5</v>
      </c>
      <c r="C15" s="6">
        <v>2</v>
      </c>
      <c r="D15" s="6">
        <f t="shared" si="0"/>
        <v>10</v>
      </c>
      <c r="E15" s="35" t="s">
        <v>112</v>
      </c>
      <c r="G15" s="2"/>
      <c r="H15" s="3"/>
      <c r="I15" s="3"/>
      <c r="J15" s="27"/>
      <c r="K15" s="28"/>
      <c r="L15" s="28"/>
      <c r="M15" s="28"/>
      <c r="N15" s="29"/>
      <c r="O15" s="30"/>
    </row>
    <row r="16" spans="1:15" ht="15" hidden="1" customHeight="1" x14ac:dyDescent="0.2">
      <c r="A16" s="32"/>
      <c r="B16" s="4">
        <f>SUM(B9:B15)</f>
        <v>100</v>
      </c>
      <c r="D16" s="4">
        <f>SUM(D9:D15)</f>
        <v>305</v>
      </c>
      <c r="G16" s="2"/>
      <c r="H16" s="3"/>
      <c r="I16" s="3"/>
      <c r="J16" s="27"/>
      <c r="K16" s="28"/>
      <c r="L16" s="28"/>
      <c r="M16" s="28"/>
      <c r="N16" s="29"/>
      <c r="O16" s="30"/>
    </row>
    <row r="17" spans="1:15" x14ac:dyDescent="0.2">
      <c r="A17" s="111" t="s">
        <v>55</v>
      </c>
      <c r="B17" s="111"/>
      <c r="C17" s="111"/>
      <c r="D17" s="33">
        <f>D16/B16</f>
        <v>3.05</v>
      </c>
      <c r="E17" s="39" t="str">
        <f>IF(D17&gt;=3.7,"Excellent",IF(D17&gt;=3,"Good",IF(D17&lt;3,"Poor")))</f>
        <v>Good</v>
      </c>
      <c r="G17" s="2"/>
      <c r="H17" s="3"/>
      <c r="I17" s="3"/>
      <c r="J17" s="27"/>
      <c r="K17" s="28"/>
      <c r="L17" s="28"/>
      <c r="M17" s="28"/>
      <c r="N17" s="29"/>
      <c r="O17" s="30"/>
    </row>
    <row r="18" spans="1:15" x14ac:dyDescent="0.2">
      <c r="A18" s="16" t="s">
        <v>56</v>
      </c>
      <c r="G18" s="2"/>
      <c r="H18" s="3"/>
      <c r="I18" s="3"/>
      <c r="J18" s="27"/>
      <c r="K18" s="28"/>
      <c r="L18" s="28"/>
      <c r="M18" s="28"/>
      <c r="N18" s="29"/>
      <c r="O18" s="30"/>
    </row>
    <row r="19" spans="1:15" x14ac:dyDescent="0.2">
      <c r="A19" s="16" t="s">
        <v>57</v>
      </c>
      <c r="G19" s="2"/>
      <c r="H19" s="3"/>
      <c r="I19" s="3"/>
      <c r="J19" s="27"/>
      <c r="K19" s="28"/>
      <c r="L19" s="28"/>
      <c r="M19" s="28"/>
      <c r="N19" s="29"/>
      <c r="O19" s="30"/>
    </row>
    <row r="20" spans="1:15" x14ac:dyDescent="0.2">
      <c r="A20" s="6" t="s">
        <v>58</v>
      </c>
      <c r="B20" s="6" t="s">
        <v>59</v>
      </c>
      <c r="G20" s="2"/>
      <c r="H20" s="3"/>
      <c r="I20" s="3"/>
      <c r="J20" s="27"/>
      <c r="K20" s="28"/>
      <c r="L20" s="28"/>
      <c r="M20" s="28"/>
      <c r="N20" s="29"/>
      <c r="O20" s="30"/>
    </row>
    <row r="21" spans="1:15" x14ac:dyDescent="0.2">
      <c r="A21" s="31" t="s">
        <v>60</v>
      </c>
      <c r="B21" s="6">
        <v>4</v>
      </c>
      <c r="G21" s="17"/>
      <c r="H21" s="18"/>
      <c r="J21" s="64"/>
      <c r="K21" s="65"/>
      <c r="L21" s="65"/>
    </row>
    <row r="22" spans="1:15" x14ac:dyDescent="0.2">
      <c r="A22" s="31" t="s">
        <v>61</v>
      </c>
      <c r="B22" s="6">
        <v>3</v>
      </c>
      <c r="G22" s="17"/>
      <c r="H22" s="18"/>
      <c r="J22" s="64"/>
      <c r="K22" s="65"/>
      <c r="L22" s="65"/>
    </row>
    <row r="23" spans="1:15" x14ac:dyDescent="0.2">
      <c r="A23" s="31" t="s">
        <v>62</v>
      </c>
      <c r="B23" s="6">
        <v>2</v>
      </c>
      <c r="G23" s="17"/>
      <c r="H23" s="18"/>
      <c r="J23" s="64"/>
      <c r="K23" s="65"/>
      <c r="L23" s="65"/>
    </row>
    <row r="24" spans="1:15" x14ac:dyDescent="0.2">
      <c r="A24" s="31" t="s">
        <v>63</v>
      </c>
      <c r="B24" s="6">
        <v>1</v>
      </c>
      <c r="G24" s="17"/>
      <c r="H24" s="18"/>
      <c r="J24" s="64"/>
      <c r="K24" s="65"/>
      <c r="L24" s="65"/>
    </row>
    <row r="25" spans="1:15" x14ac:dyDescent="0.2">
      <c r="A25" s="80" t="s">
        <v>64</v>
      </c>
      <c r="G25" s="17"/>
      <c r="H25" s="18"/>
      <c r="J25" s="64"/>
      <c r="K25" s="65"/>
      <c r="L25" s="65"/>
    </row>
    <row r="26" spans="1:15" x14ac:dyDescent="0.2">
      <c r="A26" s="6" t="s">
        <v>65</v>
      </c>
      <c r="B26" s="6" t="s">
        <v>55</v>
      </c>
      <c r="G26" s="17"/>
      <c r="H26" s="18"/>
      <c r="J26" s="64"/>
      <c r="K26" s="65"/>
      <c r="L26" s="65"/>
    </row>
    <row r="27" spans="1:15" ht="22.5" x14ac:dyDescent="0.2">
      <c r="A27" s="35" t="s">
        <v>66</v>
      </c>
      <c r="B27" s="36" t="s">
        <v>67</v>
      </c>
      <c r="G27" s="17"/>
      <c r="H27" s="18"/>
      <c r="J27" s="64"/>
      <c r="K27" s="65"/>
      <c r="L27" s="65"/>
    </row>
    <row r="28" spans="1:15" x14ac:dyDescent="0.2">
      <c r="A28" s="31" t="s">
        <v>68</v>
      </c>
      <c r="B28" s="36" t="s">
        <v>69</v>
      </c>
      <c r="G28" s="17"/>
      <c r="H28" s="18"/>
      <c r="J28" s="64"/>
      <c r="K28" s="65"/>
      <c r="L28" s="65"/>
    </row>
    <row r="29" spans="1:15" x14ac:dyDescent="0.2">
      <c r="A29" s="31" t="s">
        <v>70</v>
      </c>
      <c r="B29" s="36" t="s">
        <v>71</v>
      </c>
      <c r="G29" s="17"/>
      <c r="H29" s="18"/>
      <c r="J29" s="64"/>
      <c r="K29" s="65"/>
      <c r="L29" s="65"/>
    </row>
    <row r="30" spans="1:15" x14ac:dyDescent="0.2">
      <c r="B30" s="112"/>
      <c r="C30" s="112"/>
      <c r="D30" s="112"/>
      <c r="E30" s="79"/>
      <c r="F30" s="19"/>
      <c r="G30" s="17"/>
      <c r="H30" s="18"/>
      <c r="J30" s="64"/>
      <c r="K30" s="65"/>
      <c r="L30" s="65"/>
    </row>
    <row r="31" spans="1:15" x14ac:dyDescent="0.2">
      <c r="A31" s="112" t="s">
        <v>72</v>
      </c>
      <c r="B31" s="112"/>
      <c r="C31" s="112"/>
      <c r="D31" s="112"/>
      <c r="E31" s="5" t="s">
        <v>73</v>
      </c>
      <c r="F31" s="19"/>
      <c r="G31" s="34"/>
      <c r="H31" s="18"/>
      <c r="J31" s="64"/>
      <c r="K31" s="65"/>
      <c r="L31" s="65"/>
    </row>
    <row r="32" spans="1:15" x14ac:dyDescent="0.2">
      <c r="A32" s="112"/>
      <c r="B32" s="112"/>
      <c r="C32" s="112"/>
      <c r="D32" s="112"/>
      <c r="E32" s="112"/>
      <c r="F32" s="19"/>
      <c r="G32" s="34"/>
      <c r="H32" s="18"/>
      <c r="J32" s="64"/>
      <c r="K32" s="65"/>
      <c r="L32" s="65"/>
    </row>
    <row r="33" spans="1:12" x14ac:dyDescent="0.2">
      <c r="A33" s="112"/>
      <c r="B33" s="112"/>
      <c r="C33" s="112"/>
      <c r="D33" s="112"/>
      <c r="E33" s="112"/>
      <c r="F33" s="19"/>
      <c r="G33" s="81"/>
      <c r="J33" s="64"/>
      <c r="K33" s="65"/>
      <c r="L33" s="65"/>
    </row>
    <row r="34" spans="1:12" x14ac:dyDescent="0.2">
      <c r="A34" s="112"/>
      <c r="B34" s="112"/>
      <c r="C34" s="112"/>
      <c r="D34" s="112"/>
      <c r="E34" s="112"/>
      <c r="F34" s="19"/>
      <c r="G34" s="81"/>
      <c r="J34" s="64"/>
      <c r="K34" s="65"/>
      <c r="L34" s="65"/>
    </row>
    <row r="35" spans="1:12" x14ac:dyDescent="0.2">
      <c r="A35" s="112"/>
      <c r="B35" s="112"/>
      <c r="C35" s="112"/>
      <c r="D35" s="112"/>
      <c r="E35" s="112"/>
      <c r="F35" s="114"/>
      <c r="G35" s="114"/>
      <c r="J35" s="64"/>
      <c r="K35" s="65"/>
      <c r="L35" s="65"/>
    </row>
    <row r="36" spans="1:12" x14ac:dyDescent="0.2">
      <c r="A36" s="112" t="s">
        <v>74</v>
      </c>
      <c r="B36" s="112"/>
      <c r="C36" s="112"/>
      <c r="D36" s="112"/>
      <c r="E36" s="5" t="s">
        <v>75</v>
      </c>
      <c r="G36" s="82"/>
      <c r="J36" s="64"/>
      <c r="K36" s="65"/>
      <c r="L36" s="65"/>
    </row>
    <row r="37" spans="1:12" x14ac:dyDescent="0.2">
      <c r="A37" s="110" t="s">
        <v>76</v>
      </c>
      <c r="B37" s="110"/>
      <c r="C37" s="110"/>
      <c r="D37" s="110"/>
      <c r="E37" s="4" t="s">
        <v>77</v>
      </c>
      <c r="G37" s="82"/>
      <c r="J37" s="64"/>
      <c r="K37" s="65"/>
      <c r="L37" s="65"/>
    </row>
    <row r="38" spans="1:12" x14ac:dyDescent="0.2">
      <c r="G38" s="82"/>
      <c r="J38" s="64"/>
      <c r="K38" s="65"/>
      <c r="L38" s="65"/>
    </row>
    <row r="39" spans="1:12" x14ac:dyDescent="0.2">
      <c r="G39" s="82"/>
      <c r="J39" s="64"/>
      <c r="K39" s="65"/>
      <c r="L39" s="65"/>
    </row>
    <row r="40" spans="1:12" x14ac:dyDescent="0.2">
      <c r="F40" s="19"/>
      <c r="G40" s="81"/>
      <c r="J40" s="64"/>
      <c r="K40" s="65"/>
      <c r="L40" s="65"/>
    </row>
    <row r="41" spans="1:12" x14ac:dyDescent="0.2">
      <c r="F41" s="19"/>
      <c r="G41" s="81"/>
      <c r="J41" s="64"/>
      <c r="K41" s="65"/>
      <c r="L41" s="65"/>
    </row>
    <row r="42" spans="1:12" x14ac:dyDescent="0.2">
      <c r="F42" s="19"/>
      <c r="G42" s="81"/>
      <c r="J42" s="64"/>
      <c r="K42" s="65"/>
      <c r="L42" s="65"/>
    </row>
    <row r="43" spans="1:12" x14ac:dyDescent="0.2">
      <c r="F43" s="19"/>
      <c r="G43" s="81"/>
      <c r="J43" s="64"/>
      <c r="K43" s="65"/>
      <c r="L43" s="65"/>
    </row>
    <row r="44" spans="1:12" x14ac:dyDescent="0.2">
      <c r="F44" s="19"/>
      <c r="G44" s="81"/>
      <c r="J44" s="64"/>
      <c r="K44" s="65"/>
      <c r="L44" s="65"/>
    </row>
    <row r="45" spans="1:12" x14ac:dyDescent="0.2">
      <c r="F45" s="19"/>
      <c r="G45" s="81"/>
      <c r="J45" s="64"/>
      <c r="K45" s="65"/>
      <c r="L45" s="65"/>
    </row>
    <row r="46" spans="1:12" x14ac:dyDescent="0.2">
      <c r="F46" s="19"/>
      <c r="G46" s="81"/>
      <c r="J46" s="64"/>
      <c r="K46" s="65"/>
      <c r="L46" s="65"/>
    </row>
    <row r="47" spans="1:12" x14ac:dyDescent="0.2">
      <c r="F47" s="19"/>
      <c r="G47" s="81"/>
      <c r="J47" s="64"/>
      <c r="K47" s="65"/>
      <c r="L47" s="65"/>
    </row>
    <row r="48" spans="1:12" x14ac:dyDescent="0.2">
      <c r="F48" s="19"/>
      <c r="G48" s="81"/>
      <c r="J48" s="64"/>
      <c r="K48" s="65"/>
      <c r="L48" s="65"/>
    </row>
    <row r="49" spans="6:12" x14ac:dyDescent="0.2">
      <c r="F49" s="19"/>
      <c r="G49" s="81"/>
      <c r="J49" s="64"/>
      <c r="K49" s="65"/>
      <c r="L49" s="65"/>
    </row>
    <row r="50" spans="6:12" x14ac:dyDescent="0.2">
      <c r="F50" s="19"/>
      <c r="G50" s="81"/>
      <c r="J50" s="64"/>
      <c r="K50" s="65"/>
      <c r="L50" s="65"/>
    </row>
    <row r="51" spans="6:12" x14ac:dyDescent="0.2">
      <c r="J51" s="64"/>
      <c r="K51" s="65"/>
      <c r="L51" s="65"/>
    </row>
    <row r="52" spans="6:12" x14ac:dyDescent="0.2">
      <c r="J52" s="64"/>
      <c r="K52" s="65"/>
      <c r="L52" s="65"/>
    </row>
    <row r="53" spans="6:12" x14ac:dyDescent="0.2">
      <c r="J53" s="64"/>
      <c r="K53" s="65"/>
      <c r="L53" s="65"/>
    </row>
    <row r="54" spans="6:12" x14ac:dyDescent="0.2">
      <c r="J54" s="64"/>
      <c r="K54" s="65"/>
      <c r="L54" s="65"/>
    </row>
    <row r="55" spans="6:12" x14ac:dyDescent="0.2">
      <c r="J55" s="64"/>
      <c r="K55" s="65"/>
      <c r="L55" s="65"/>
    </row>
    <row r="56" spans="6:12" x14ac:dyDescent="0.2">
      <c r="J56" s="64"/>
      <c r="K56" s="65"/>
      <c r="L56" s="65"/>
    </row>
    <row r="57" spans="6:12" x14ac:dyDescent="0.2">
      <c r="J57" s="64"/>
      <c r="K57" s="65"/>
      <c r="L57" s="65"/>
    </row>
    <row r="58" spans="6:12" x14ac:dyDescent="0.2">
      <c r="J58" s="64"/>
      <c r="K58" s="65"/>
      <c r="L58" s="65"/>
    </row>
    <row r="59" spans="6:12" x14ac:dyDescent="0.2">
      <c r="J59" s="64"/>
      <c r="K59" s="65"/>
      <c r="L59" s="65"/>
    </row>
    <row r="60" spans="6:12" x14ac:dyDescent="0.2">
      <c r="J60" s="64"/>
      <c r="K60" s="65"/>
      <c r="L60" s="65"/>
    </row>
    <row r="61" spans="6:12" x14ac:dyDescent="0.2">
      <c r="J61" s="64"/>
      <c r="K61" s="65"/>
      <c r="L61" s="65"/>
    </row>
    <row r="62" spans="6:12" x14ac:dyDescent="0.2">
      <c r="J62" s="64"/>
      <c r="K62" s="65"/>
      <c r="L62" s="65"/>
    </row>
    <row r="63" spans="6:12" x14ac:dyDescent="0.2">
      <c r="J63" s="64"/>
      <c r="K63" s="65"/>
      <c r="L63" s="65"/>
    </row>
    <row r="64" spans="6:12" x14ac:dyDescent="0.2">
      <c r="J64" s="64"/>
      <c r="K64" s="65"/>
      <c r="L64" s="65"/>
    </row>
    <row r="65" spans="10:12" x14ac:dyDescent="0.2">
      <c r="J65" s="64"/>
      <c r="K65" s="65"/>
      <c r="L65" s="65"/>
    </row>
    <row r="66" spans="10:12" x14ac:dyDescent="0.2">
      <c r="J66" s="64"/>
      <c r="K66" s="65"/>
      <c r="L66" s="65"/>
    </row>
    <row r="67" spans="10:12" x14ac:dyDescent="0.2">
      <c r="J67" s="64"/>
      <c r="K67" s="65"/>
      <c r="L67" s="65"/>
    </row>
    <row r="68" spans="10:12" x14ac:dyDescent="0.2">
      <c r="J68" s="64"/>
      <c r="K68" s="65"/>
      <c r="L68" s="65"/>
    </row>
    <row r="69" spans="10:12" x14ac:dyDescent="0.2">
      <c r="J69" s="64"/>
      <c r="K69" s="65"/>
      <c r="L69" s="65"/>
    </row>
    <row r="70" spans="10:12" x14ac:dyDescent="0.2">
      <c r="J70" s="64"/>
      <c r="K70" s="65"/>
      <c r="L70" s="65"/>
    </row>
    <row r="71" spans="10:12" x14ac:dyDescent="0.2">
      <c r="J71" s="64"/>
      <c r="K71" s="65"/>
      <c r="L71" s="65"/>
    </row>
    <row r="72" spans="10:12" x14ac:dyDescent="0.2">
      <c r="J72" s="64"/>
      <c r="K72" s="65"/>
      <c r="L72" s="65"/>
    </row>
    <row r="73" spans="10:12" x14ac:dyDescent="0.2">
      <c r="J73" s="64"/>
      <c r="K73" s="65"/>
      <c r="L73" s="65"/>
    </row>
    <row r="74" spans="10:12" x14ac:dyDescent="0.2">
      <c r="J74" s="64"/>
      <c r="K74" s="65"/>
      <c r="L74" s="65"/>
    </row>
    <row r="75" spans="10:12" x14ac:dyDescent="0.2">
      <c r="J75" s="64"/>
      <c r="K75" s="65"/>
      <c r="L75" s="65"/>
    </row>
    <row r="76" spans="10:12" x14ac:dyDescent="0.2">
      <c r="J76" s="64"/>
      <c r="K76" s="65"/>
      <c r="L76" s="65"/>
    </row>
    <row r="77" spans="10:12" x14ac:dyDescent="0.2">
      <c r="J77" s="64"/>
      <c r="K77" s="65"/>
      <c r="L77" s="65"/>
    </row>
    <row r="78" spans="10:12" x14ac:dyDescent="0.2">
      <c r="J78" s="64"/>
      <c r="K78" s="65"/>
      <c r="L78" s="65"/>
    </row>
    <row r="79" spans="10:12" x14ac:dyDescent="0.2">
      <c r="J79" s="64"/>
      <c r="K79" s="65"/>
      <c r="L79" s="65"/>
    </row>
    <row r="80" spans="10:12" x14ac:dyDescent="0.2">
      <c r="J80" s="64"/>
      <c r="K80" s="65"/>
      <c r="L80" s="65"/>
    </row>
    <row r="81" spans="10:12" x14ac:dyDescent="0.2">
      <c r="J81" s="64"/>
      <c r="K81" s="65"/>
      <c r="L81" s="65"/>
    </row>
    <row r="82" spans="10:12" x14ac:dyDescent="0.2">
      <c r="J82" s="64"/>
      <c r="K82" s="65"/>
      <c r="L82" s="65"/>
    </row>
    <row r="83" spans="10:12" x14ac:dyDescent="0.2">
      <c r="J83" s="64"/>
      <c r="K83" s="65"/>
      <c r="L83" s="65"/>
    </row>
    <row r="84" spans="10:12" x14ac:dyDescent="0.2">
      <c r="J84" s="64"/>
      <c r="K84" s="65"/>
      <c r="L84" s="65"/>
    </row>
  </sheetData>
  <mergeCells count="14">
    <mergeCell ref="A36:D36"/>
    <mergeCell ref="A37:D37"/>
    <mergeCell ref="A17:C17"/>
    <mergeCell ref="B30:D30"/>
    <mergeCell ref="A31:D31"/>
    <mergeCell ref="A32:D35"/>
    <mergeCell ref="E32:E35"/>
    <mergeCell ref="F35:G35"/>
    <mergeCell ref="A1:A3"/>
    <mergeCell ref="B1:E3"/>
    <mergeCell ref="F1:G1"/>
    <mergeCell ref="B4:E4"/>
    <mergeCell ref="B5:E5"/>
    <mergeCell ref="B6:E6"/>
  </mergeCells>
  <conditionalFormatting sqref="E17">
    <cfRule type="containsText" dxfId="35" priority="1" operator="containsText" text="Poor">
      <formula>NOT(ISERROR(SEARCH("Poor",E17)))</formula>
    </cfRule>
    <cfRule type="containsText" dxfId="34" priority="2" operator="containsText" text="Average">
      <formula>NOT(ISERROR(SEARCH("Average",E17)))</formula>
    </cfRule>
    <cfRule type="containsText" dxfId="33" priority="3" operator="containsText" text="Good">
      <formula>NOT(ISERROR(SEARCH("Good",E17)))</formula>
    </cfRule>
    <cfRule type="containsText" dxfId="32" priority="4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86432-80A2-4B6C-97AB-25545824D58A}">
  <dimension ref="A1:O84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32.28515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48.7109375" style="38" customWidth="1"/>
    <col min="6" max="6" width="10.7109375" style="16" customWidth="1"/>
    <col min="7" max="7" width="14.7109375" style="16" customWidth="1"/>
    <col min="8" max="8" width="11" style="16" customWidth="1"/>
    <col min="9" max="9" width="8.7109375" style="16"/>
    <col min="10" max="10" width="11.42578125" style="16" customWidth="1"/>
    <col min="11" max="16384" width="8.7109375" style="16"/>
  </cols>
  <sheetData>
    <row r="1" spans="1:15" ht="14.25" customHeight="1" x14ac:dyDescent="0.2">
      <c r="A1" s="110"/>
      <c r="B1" s="109" t="s">
        <v>30</v>
      </c>
      <c r="C1" s="109"/>
      <c r="D1" s="109"/>
      <c r="E1" s="109"/>
      <c r="F1" s="112"/>
      <c r="G1" s="112"/>
      <c r="H1" s="5"/>
    </row>
    <row r="2" spans="1:15" ht="14.25" customHeight="1" x14ac:dyDescent="0.2">
      <c r="A2" s="110"/>
      <c r="B2" s="109"/>
      <c r="C2" s="109"/>
      <c r="D2" s="109"/>
      <c r="E2" s="109"/>
      <c r="G2" s="48"/>
      <c r="H2" s="49"/>
    </row>
    <row r="3" spans="1:15" x14ac:dyDescent="0.2">
      <c r="A3" s="110"/>
      <c r="B3" s="109"/>
      <c r="C3" s="109"/>
      <c r="D3" s="109"/>
      <c r="E3" s="109"/>
      <c r="G3" s="48"/>
      <c r="H3" s="49"/>
    </row>
    <row r="4" spans="1:15" x14ac:dyDescent="0.2">
      <c r="A4" s="16" t="s">
        <v>31</v>
      </c>
      <c r="B4" s="110" t="s">
        <v>17</v>
      </c>
      <c r="C4" s="110"/>
      <c r="D4" s="110"/>
      <c r="E4" s="110"/>
      <c r="G4" s="48"/>
      <c r="H4" s="49"/>
    </row>
    <row r="5" spans="1:15" x14ac:dyDescent="0.2">
      <c r="A5" s="16" t="s">
        <v>32</v>
      </c>
      <c r="B5" s="110" t="s">
        <v>18</v>
      </c>
      <c r="C5" s="110"/>
      <c r="D5" s="110"/>
      <c r="E5" s="110"/>
      <c r="G5" s="48"/>
      <c r="H5" s="49"/>
    </row>
    <row r="6" spans="1:15" x14ac:dyDescent="0.2">
      <c r="A6" s="16" t="s">
        <v>33</v>
      </c>
      <c r="B6" s="108" t="s">
        <v>148</v>
      </c>
      <c r="C6" s="108"/>
      <c r="D6" s="108"/>
      <c r="E6" s="108"/>
      <c r="G6" s="48"/>
      <c r="H6" s="49"/>
    </row>
    <row r="7" spans="1:15" x14ac:dyDescent="0.2">
      <c r="B7" s="8"/>
      <c r="C7" s="8"/>
      <c r="D7" s="8"/>
      <c r="E7" s="8"/>
      <c r="G7" s="48"/>
      <c r="H7" s="49"/>
    </row>
    <row r="8" spans="1:15" s="19" customFormat="1" ht="22.5" x14ac:dyDescent="0.1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113</v>
      </c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2</v>
      </c>
      <c r="D10" s="24">
        <f t="shared" si="0"/>
        <v>40</v>
      </c>
      <c r="E10" s="25" t="s">
        <v>114</v>
      </c>
      <c r="G10" s="2"/>
      <c r="H10" s="3"/>
      <c r="I10" s="3"/>
      <c r="J10" s="27"/>
      <c r="K10" s="28"/>
      <c r="L10" s="28"/>
      <c r="M10" s="28"/>
      <c r="N10" s="29"/>
      <c r="O10" s="30"/>
    </row>
    <row r="11" spans="1:15" s="19" customFormat="1" x14ac:dyDescent="0.15">
      <c r="A11" s="23" t="s">
        <v>45</v>
      </c>
      <c r="B11" s="24">
        <v>20</v>
      </c>
      <c r="C11" s="24">
        <v>2</v>
      </c>
      <c r="D11" s="24">
        <f t="shared" si="0"/>
        <v>40</v>
      </c>
      <c r="E11" s="25" t="s">
        <v>115</v>
      </c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3</v>
      </c>
      <c r="D12" s="24">
        <f t="shared" si="0"/>
        <v>60</v>
      </c>
      <c r="E12" s="25" t="s">
        <v>116</v>
      </c>
      <c r="F12" s="19"/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19"/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">
      <c r="A14" s="31" t="s">
        <v>51</v>
      </c>
      <c r="B14" s="6">
        <v>5</v>
      </c>
      <c r="C14" s="6">
        <v>3</v>
      </c>
      <c r="D14" s="24">
        <f t="shared" si="0"/>
        <v>15</v>
      </c>
      <c r="E14" s="31" t="s">
        <v>91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">
      <c r="A15" s="31" t="s">
        <v>53</v>
      </c>
      <c r="B15" s="6">
        <v>5</v>
      </c>
      <c r="C15" s="6">
        <v>2</v>
      </c>
      <c r="D15" s="6">
        <f t="shared" si="0"/>
        <v>10</v>
      </c>
      <c r="E15" s="35" t="s">
        <v>112</v>
      </c>
      <c r="G15" s="2"/>
      <c r="H15" s="3"/>
      <c r="I15" s="3"/>
      <c r="J15" s="27"/>
      <c r="K15" s="28"/>
      <c r="L15" s="28"/>
      <c r="M15" s="28"/>
      <c r="N15" s="29"/>
      <c r="O15" s="30"/>
    </row>
    <row r="16" spans="1:15" ht="15" hidden="1" customHeight="1" x14ac:dyDescent="0.2">
      <c r="A16" s="32"/>
      <c r="B16" s="4">
        <f>SUM(B9:B15)</f>
        <v>100</v>
      </c>
      <c r="D16" s="4">
        <f>SUM(D9:D15)</f>
        <v>285</v>
      </c>
      <c r="G16" s="2"/>
      <c r="H16" s="3"/>
      <c r="I16" s="3"/>
      <c r="J16" s="27"/>
      <c r="K16" s="28"/>
      <c r="L16" s="28"/>
      <c r="M16" s="28"/>
      <c r="N16" s="29"/>
      <c r="O16" s="30"/>
    </row>
    <row r="17" spans="1:15" x14ac:dyDescent="0.2">
      <c r="A17" s="111" t="s">
        <v>55</v>
      </c>
      <c r="B17" s="111"/>
      <c r="C17" s="111"/>
      <c r="D17" s="33">
        <f>D16/B16</f>
        <v>2.85</v>
      </c>
      <c r="E17" s="39" t="str">
        <f>IF(D17&gt;=3.7,"Excellent",IF(D17&gt;=3,"Good",IF(D17&lt;3,"Poor")))</f>
        <v>Poor</v>
      </c>
      <c r="G17" s="2"/>
      <c r="H17" s="3"/>
      <c r="I17" s="3"/>
      <c r="J17" s="27"/>
      <c r="K17" s="28"/>
      <c r="L17" s="28"/>
      <c r="M17" s="28"/>
      <c r="N17" s="29"/>
      <c r="O17" s="30"/>
    </row>
    <row r="18" spans="1:15" x14ac:dyDescent="0.2">
      <c r="A18" s="16" t="s">
        <v>56</v>
      </c>
      <c r="G18" s="2"/>
      <c r="H18" s="3"/>
      <c r="I18" s="3"/>
      <c r="J18" s="27"/>
      <c r="K18" s="28"/>
      <c r="L18" s="28"/>
      <c r="M18" s="28"/>
      <c r="N18" s="29"/>
      <c r="O18" s="30"/>
    </row>
    <row r="19" spans="1:15" x14ac:dyDescent="0.2">
      <c r="A19" s="16" t="s">
        <v>57</v>
      </c>
      <c r="G19" s="2"/>
      <c r="H19" s="3"/>
      <c r="I19" s="3"/>
      <c r="J19" s="27"/>
      <c r="K19" s="28"/>
      <c r="L19" s="28"/>
      <c r="M19" s="28"/>
      <c r="N19" s="29"/>
      <c r="O19" s="30"/>
    </row>
    <row r="20" spans="1:15" x14ac:dyDescent="0.2">
      <c r="A20" s="6" t="s">
        <v>58</v>
      </c>
      <c r="B20" s="6" t="s">
        <v>59</v>
      </c>
      <c r="G20" s="2"/>
      <c r="H20" s="3"/>
      <c r="I20" s="3"/>
      <c r="J20" s="27"/>
      <c r="K20" s="28"/>
      <c r="L20" s="28"/>
      <c r="M20" s="28"/>
      <c r="N20" s="29"/>
      <c r="O20" s="30"/>
    </row>
    <row r="21" spans="1:15" x14ac:dyDescent="0.2">
      <c r="A21" s="31" t="s">
        <v>60</v>
      </c>
      <c r="B21" s="6">
        <v>4</v>
      </c>
      <c r="G21" s="17"/>
      <c r="H21" s="18"/>
      <c r="J21" s="64"/>
      <c r="K21" s="65"/>
      <c r="L21" s="65"/>
    </row>
    <row r="22" spans="1:15" x14ac:dyDescent="0.2">
      <c r="A22" s="31" t="s">
        <v>61</v>
      </c>
      <c r="B22" s="6">
        <v>3</v>
      </c>
      <c r="G22" s="17"/>
      <c r="H22" s="18"/>
      <c r="J22" s="64"/>
      <c r="K22" s="65"/>
      <c r="L22" s="65"/>
    </row>
    <row r="23" spans="1:15" x14ac:dyDescent="0.2">
      <c r="A23" s="31" t="s">
        <v>62</v>
      </c>
      <c r="B23" s="6">
        <v>2</v>
      </c>
      <c r="G23" s="17"/>
      <c r="H23" s="18"/>
      <c r="J23" s="64"/>
      <c r="K23" s="65"/>
      <c r="L23" s="65"/>
    </row>
    <row r="24" spans="1:15" x14ac:dyDescent="0.2">
      <c r="A24" s="31" t="s">
        <v>63</v>
      </c>
      <c r="B24" s="6">
        <v>1</v>
      </c>
      <c r="G24" s="17"/>
      <c r="H24" s="18"/>
      <c r="J24" s="64"/>
      <c r="K24" s="65"/>
      <c r="L24" s="65"/>
    </row>
    <row r="25" spans="1:15" x14ac:dyDescent="0.2">
      <c r="A25" s="80" t="s">
        <v>64</v>
      </c>
      <c r="G25" s="17"/>
      <c r="H25" s="18"/>
      <c r="J25" s="64"/>
      <c r="K25" s="65"/>
      <c r="L25" s="65"/>
    </row>
    <row r="26" spans="1:15" x14ac:dyDescent="0.2">
      <c r="A26" s="6" t="s">
        <v>65</v>
      </c>
      <c r="B26" s="6" t="s">
        <v>55</v>
      </c>
      <c r="G26" s="17"/>
      <c r="H26" s="18"/>
      <c r="J26" s="64"/>
      <c r="K26" s="65"/>
      <c r="L26" s="65"/>
    </row>
    <row r="27" spans="1:15" ht="22.5" x14ac:dyDescent="0.2">
      <c r="A27" s="35" t="s">
        <v>66</v>
      </c>
      <c r="B27" s="36" t="s">
        <v>67</v>
      </c>
      <c r="G27" s="17"/>
      <c r="H27" s="18"/>
      <c r="J27" s="64"/>
      <c r="K27" s="65"/>
      <c r="L27" s="65"/>
    </row>
    <row r="28" spans="1:15" x14ac:dyDescent="0.2">
      <c r="A28" s="31" t="s">
        <v>68</v>
      </c>
      <c r="B28" s="36" t="s">
        <v>69</v>
      </c>
      <c r="G28" s="17"/>
      <c r="H28" s="18"/>
      <c r="J28" s="64"/>
      <c r="K28" s="65"/>
      <c r="L28" s="65"/>
    </row>
    <row r="29" spans="1:15" x14ac:dyDescent="0.2">
      <c r="A29" s="31" t="s">
        <v>70</v>
      </c>
      <c r="B29" s="36" t="s">
        <v>71</v>
      </c>
      <c r="G29" s="17"/>
      <c r="H29" s="18"/>
      <c r="J29" s="64"/>
      <c r="K29" s="65"/>
      <c r="L29" s="65"/>
    </row>
    <row r="30" spans="1:15" x14ac:dyDescent="0.2">
      <c r="B30" s="112"/>
      <c r="C30" s="112"/>
      <c r="D30" s="112"/>
      <c r="E30" s="79"/>
      <c r="F30" s="19"/>
      <c r="G30" s="17"/>
      <c r="H30" s="18"/>
      <c r="J30" s="64"/>
      <c r="K30" s="65"/>
      <c r="L30" s="65"/>
    </row>
    <row r="31" spans="1:15" x14ac:dyDescent="0.2">
      <c r="A31" s="112" t="s">
        <v>72</v>
      </c>
      <c r="B31" s="112"/>
      <c r="C31" s="112"/>
      <c r="D31" s="112"/>
      <c r="E31" s="5" t="s">
        <v>73</v>
      </c>
      <c r="F31" s="19"/>
      <c r="G31" s="34"/>
      <c r="H31" s="18"/>
      <c r="J31" s="64"/>
      <c r="K31" s="65"/>
      <c r="L31" s="65"/>
    </row>
    <row r="32" spans="1:15" x14ac:dyDescent="0.2">
      <c r="A32" s="112"/>
      <c r="B32" s="112"/>
      <c r="C32" s="112"/>
      <c r="D32" s="112"/>
      <c r="E32" s="112"/>
      <c r="F32" s="19"/>
      <c r="G32" s="34"/>
      <c r="H32" s="18"/>
      <c r="J32" s="64"/>
      <c r="K32" s="65"/>
      <c r="L32" s="65"/>
    </row>
    <row r="33" spans="1:12" x14ac:dyDescent="0.2">
      <c r="A33" s="112"/>
      <c r="B33" s="112"/>
      <c r="C33" s="112"/>
      <c r="D33" s="112"/>
      <c r="E33" s="112"/>
      <c r="F33" s="19"/>
      <c r="G33" s="81"/>
      <c r="J33" s="64"/>
      <c r="K33" s="65"/>
      <c r="L33" s="65"/>
    </row>
    <row r="34" spans="1:12" x14ac:dyDescent="0.2">
      <c r="A34" s="112"/>
      <c r="B34" s="112"/>
      <c r="C34" s="112"/>
      <c r="D34" s="112"/>
      <c r="E34" s="112"/>
      <c r="F34" s="19"/>
      <c r="G34" s="81"/>
      <c r="J34" s="64"/>
      <c r="K34" s="65"/>
      <c r="L34" s="65"/>
    </row>
    <row r="35" spans="1:12" x14ac:dyDescent="0.2">
      <c r="A35" s="112"/>
      <c r="B35" s="112"/>
      <c r="C35" s="112"/>
      <c r="D35" s="112"/>
      <c r="E35" s="112"/>
      <c r="F35" s="114"/>
      <c r="G35" s="114"/>
      <c r="J35" s="64"/>
      <c r="K35" s="65"/>
      <c r="L35" s="65"/>
    </row>
    <row r="36" spans="1:12" x14ac:dyDescent="0.2">
      <c r="A36" s="112" t="s">
        <v>74</v>
      </c>
      <c r="B36" s="112"/>
      <c r="C36" s="112"/>
      <c r="D36" s="112"/>
      <c r="E36" s="5" t="s">
        <v>75</v>
      </c>
      <c r="G36" s="82"/>
      <c r="J36" s="64"/>
      <c r="K36" s="65"/>
      <c r="L36" s="65"/>
    </row>
    <row r="37" spans="1:12" x14ac:dyDescent="0.2">
      <c r="A37" s="110" t="s">
        <v>76</v>
      </c>
      <c r="B37" s="110"/>
      <c r="C37" s="110"/>
      <c r="D37" s="110"/>
      <c r="E37" s="4" t="s">
        <v>77</v>
      </c>
      <c r="G37" s="82"/>
      <c r="J37" s="64"/>
      <c r="K37" s="65"/>
      <c r="L37" s="65"/>
    </row>
    <row r="38" spans="1:12" x14ac:dyDescent="0.2">
      <c r="G38" s="82"/>
      <c r="J38" s="64"/>
      <c r="K38" s="65"/>
      <c r="L38" s="65"/>
    </row>
    <row r="39" spans="1:12" x14ac:dyDescent="0.2">
      <c r="G39" s="82"/>
      <c r="J39" s="64"/>
      <c r="K39" s="65"/>
      <c r="L39" s="65"/>
    </row>
    <row r="40" spans="1:12" x14ac:dyDescent="0.2">
      <c r="F40" s="19"/>
      <c r="G40" s="81"/>
      <c r="J40" s="64"/>
      <c r="K40" s="65"/>
      <c r="L40" s="65"/>
    </row>
    <row r="41" spans="1:12" x14ac:dyDescent="0.2">
      <c r="F41" s="19"/>
      <c r="G41" s="81"/>
      <c r="J41" s="64"/>
      <c r="K41" s="65"/>
      <c r="L41" s="65"/>
    </row>
    <row r="42" spans="1:12" x14ac:dyDescent="0.2">
      <c r="F42" s="19"/>
      <c r="G42" s="81"/>
      <c r="J42" s="64"/>
      <c r="K42" s="65"/>
      <c r="L42" s="65"/>
    </row>
    <row r="43" spans="1:12" x14ac:dyDescent="0.2">
      <c r="F43" s="19"/>
      <c r="G43" s="81"/>
      <c r="J43" s="64"/>
      <c r="K43" s="65"/>
      <c r="L43" s="65"/>
    </row>
    <row r="44" spans="1:12" x14ac:dyDescent="0.2">
      <c r="F44" s="19"/>
      <c r="G44" s="81"/>
      <c r="J44" s="64"/>
      <c r="K44" s="65"/>
      <c r="L44" s="65"/>
    </row>
    <row r="45" spans="1:12" x14ac:dyDescent="0.2">
      <c r="F45" s="19"/>
      <c r="G45" s="81"/>
      <c r="J45" s="64"/>
      <c r="K45" s="65"/>
      <c r="L45" s="65"/>
    </row>
    <row r="46" spans="1:12" x14ac:dyDescent="0.2">
      <c r="F46" s="19"/>
      <c r="G46" s="81"/>
      <c r="J46" s="64"/>
      <c r="K46" s="65"/>
      <c r="L46" s="65"/>
    </row>
    <row r="47" spans="1:12" x14ac:dyDescent="0.2">
      <c r="F47" s="19"/>
      <c r="G47" s="81"/>
      <c r="J47" s="64"/>
      <c r="K47" s="65"/>
      <c r="L47" s="65"/>
    </row>
    <row r="48" spans="1:12" x14ac:dyDescent="0.2">
      <c r="F48" s="19"/>
      <c r="G48" s="81"/>
      <c r="J48" s="64"/>
      <c r="K48" s="65"/>
      <c r="L48" s="65"/>
    </row>
    <row r="49" spans="6:12" x14ac:dyDescent="0.2">
      <c r="F49" s="19"/>
      <c r="G49" s="81"/>
      <c r="J49" s="64"/>
      <c r="K49" s="65"/>
      <c r="L49" s="65"/>
    </row>
    <row r="50" spans="6:12" x14ac:dyDescent="0.2">
      <c r="F50" s="19"/>
      <c r="G50" s="81"/>
      <c r="J50" s="64"/>
      <c r="K50" s="65"/>
      <c r="L50" s="65"/>
    </row>
    <row r="51" spans="6:12" x14ac:dyDescent="0.2">
      <c r="J51" s="64"/>
      <c r="K51" s="65"/>
      <c r="L51" s="65"/>
    </row>
    <row r="52" spans="6:12" x14ac:dyDescent="0.2">
      <c r="J52" s="64"/>
      <c r="K52" s="65"/>
      <c r="L52" s="65"/>
    </row>
    <row r="53" spans="6:12" x14ac:dyDescent="0.2">
      <c r="J53" s="64"/>
      <c r="K53" s="65"/>
      <c r="L53" s="65"/>
    </row>
    <row r="54" spans="6:12" x14ac:dyDescent="0.2">
      <c r="J54" s="64"/>
      <c r="K54" s="65"/>
      <c r="L54" s="65"/>
    </row>
    <row r="55" spans="6:12" x14ac:dyDescent="0.2">
      <c r="J55" s="64"/>
      <c r="K55" s="65"/>
      <c r="L55" s="65"/>
    </row>
    <row r="56" spans="6:12" x14ac:dyDescent="0.2">
      <c r="J56" s="64"/>
      <c r="K56" s="65"/>
      <c r="L56" s="65"/>
    </row>
    <row r="57" spans="6:12" x14ac:dyDescent="0.2">
      <c r="J57" s="64"/>
      <c r="K57" s="65"/>
      <c r="L57" s="65"/>
    </row>
    <row r="58" spans="6:12" x14ac:dyDescent="0.2">
      <c r="J58" s="64"/>
      <c r="K58" s="65"/>
      <c r="L58" s="65"/>
    </row>
    <row r="59" spans="6:12" x14ac:dyDescent="0.2">
      <c r="J59" s="64"/>
      <c r="K59" s="65"/>
      <c r="L59" s="65"/>
    </row>
    <row r="60" spans="6:12" x14ac:dyDescent="0.2">
      <c r="J60" s="64"/>
      <c r="K60" s="65"/>
      <c r="L60" s="65"/>
    </row>
    <row r="61" spans="6:12" x14ac:dyDescent="0.2">
      <c r="J61" s="64"/>
      <c r="K61" s="65"/>
      <c r="L61" s="65"/>
    </row>
    <row r="62" spans="6:12" x14ac:dyDescent="0.2">
      <c r="J62" s="64"/>
      <c r="K62" s="65"/>
      <c r="L62" s="65"/>
    </row>
    <row r="63" spans="6:12" x14ac:dyDescent="0.2">
      <c r="J63" s="64"/>
      <c r="K63" s="65"/>
      <c r="L63" s="65"/>
    </row>
    <row r="64" spans="6:12" x14ac:dyDescent="0.2">
      <c r="J64" s="64"/>
      <c r="K64" s="65"/>
      <c r="L64" s="65"/>
    </row>
    <row r="65" spans="10:12" x14ac:dyDescent="0.2">
      <c r="J65" s="64"/>
      <c r="K65" s="65"/>
      <c r="L65" s="65"/>
    </row>
    <row r="66" spans="10:12" x14ac:dyDescent="0.2">
      <c r="J66" s="64"/>
      <c r="K66" s="65"/>
      <c r="L66" s="65"/>
    </row>
    <row r="67" spans="10:12" x14ac:dyDescent="0.2">
      <c r="J67" s="64"/>
      <c r="K67" s="65"/>
      <c r="L67" s="65"/>
    </row>
    <row r="68" spans="10:12" x14ac:dyDescent="0.2">
      <c r="J68" s="64"/>
      <c r="K68" s="65"/>
      <c r="L68" s="65"/>
    </row>
    <row r="69" spans="10:12" x14ac:dyDescent="0.2">
      <c r="J69" s="64"/>
      <c r="K69" s="65"/>
      <c r="L69" s="65"/>
    </row>
    <row r="70" spans="10:12" x14ac:dyDescent="0.2">
      <c r="J70" s="64"/>
      <c r="K70" s="65"/>
      <c r="L70" s="65"/>
    </row>
    <row r="71" spans="10:12" x14ac:dyDescent="0.2">
      <c r="J71" s="64"/>
      <c r="K71" s="65"/>
      <c r="L71" s="65"/>
    </row>
    <row r="72" spans="10:12" x14ac:dyDescent="0.2">
      <c r="J72" s="64"/>
      <c r="K72" s="65"/>
      <c r="L72" s="65"/>
    </row>
    <row r="73" spans="10:12" x14ac:dyDescent="0.2">
      <c r="J73" s="64"/>
      <c r="K73" s="65"/>
      <c r="L73" s="65"/>
    </row>
    <row r="74" spans="10:12" x14ac:dyDescent="0.2">
      <c r="J74" s="64"/>
      <c r="K74" s="65"/>
      <c r="L74" s="65"/>
    </row>
    <row r="75" spans="10:12" x14ac:dyDescent="0.2">
      <c r="J75" s="64"/>
      <c r="K75" s="65"/>
      <c r="L75" s="65"/>
    </row>
    <row r="76" spans="10:12" x14ac:dyDescent="0.2">
      <c r="J76" s="64"/>
      <c r="K76" s="65"/>
      <c r="L76" s="65"/>
    </row>
    <row r="77" spans="10:12" x14ac:dyDescent="0.2">
      <c r="J77" s="64"/>
      <c r="K77" s="65"/>
      <c r="L77" s="65"/>
    </row>
    <row r="78" spans="10:12" x14ac:dyDescent="0.2">
      <c r="J78" s="64"/>
      <c r="K78" s="65"/>
      <c r="L78" s="65"/>
    </row>
    <row r="79" spans="10:12" x14ac:dyDescent="0.2">
      <c r="J79" s="64"/>
      <c r="K79" s="65"/>
      <c r="L79" s="65"/>
    </row>
    <row r="80" spans="10:12" x14ac:dyDescent="0.2">
      <c r="J80" s="64"/>
      <c r="K80" s="65"/>
      <c r="L80" s="65"/>
    </row>
    <row r="81" spans="10:12" x14ac:dyDescent="0.2">
      <c r="J81" s="64"/>
      <c r="K81" s="65"/>
      <c r="L81" s="65"/>
    </row>
    <row r="82" spans="10:12" x14ac:dyDescent="0.2">
      <c r="J82" s="64"/>
      <c r="K82" s="65"/>
      <c r="L82" s="65"/>
    </row>
    <row r="83" spans="10:12" x14ac:dyDescent="0.2">
      <c r="J83" s="64"/>
      <c r="K83" s="65"/>
      <c r="L83" s="65"/>
    </row>
    <row r="84" spans="10:12" x14ac:dyDescent="0.2">
      <c r="J84" s="64"/>
      <c r="K84" s="65"/>
      <c r="L84" s="65"/>
    </row>
  </sheetData>
  <mergeCells count="14">
    <mergeCell ref="A36:D36"/>
    <mergeCell ref="A37:D37"/>
    <mergeCell ref="A17:C17"/>
    <mergeCell ref="B30:D30"/>
    <mergeCell ref="A31:D31"/>
    <mergeCell ref="A32:D35"/>
    <mergeCell ref="E32:E35"/>
    <mergeCell ref="F35:G35"/>
    <mergeCell ref="A1:A3"/>
    <mergeCell ref="B1:E3"/>
    <mergeCell ref="F1:G1"/>
    <mergeCell ref="B4:E4"/>
    <mergeCell ref="B5:E5"/>
    <mergeCell ref="B6:E6"/>
  </mergeCells>
  <conditionalFormatting sqref="E17">
    <cfRule type="containsText" dxfId="31" priority="1" operator="containsText" text="Poor">
      <formula>NOT(ISERROR(SEARCH("Poor",E17)))</formula>
    </cfRule>
    <cfRule type="containsText" dxfId="30" priority="2" operator="containsText" text="Average">
      <formula>NOT(ISERROR(SEARCH("Average",E17)))</formula>
    </cfRule>
    <cfRule type="containsText" dxfId="29" priority="3" operator="containsText" text="Good">
      <formula>NOT(ISERROR(SEARCH("Good",E17)))</formula>
    </cfRule>
    <cfRule type="containsText" dxfId="28" priority="4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0"/>
  <sheetViews>
    <sheetView topLeftCell="A4" zoomScale="89" zoomScaleNormal="89" workbookViewId="0">
      <selection activeCell="B6" sqref="B6:E6"/>
    </sheetView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50.7109375" style="77" customWidth="1"/>
    <col min="6" max="6" width="8.140625" customWidth="1"/>
    <col min="7" max="7" width="9" customWidth="1"/>
    <col min="8" max="8" width="11" customWidth="1"/>
    <col min="10" max="10" width="11" customWidth="1"/>
    <col min="11" max="11" width="8.140625" customWidth="1"/>
  </cols>
  <sheetData>
    <row r="1" spans="1:15" ht="14.25" customHeight="1" x14ac:dyDescent="0.25">
      <c r="A1" s="110"/>
      <c r="B1" s="109" t="s">
        <v>30</v>
      </c>
      <c r="C1" s="109"/>
      <c r="D1" s="109"/>
      <c r="E1" s="109"/>
    </row>
    <row r="2" spans="1:15" ht="14.25" customHeight="1" x14ac:dyDescent="0.25">
      <c r="A2" s="110"/>
      <c r="B2" s="109"/>
      <c r="C2" s="109"/>
      <c r="D2" s="109"/>
      <c r="E2" s="109"/>
      <c r="G2" s="48"/>
      <c r="H2" s="50"/>
    </row>
    <row r="3" spans="1:15" x14ac:dyDescent="0.25">
      <c r="A3" s="110"/>
      <c r="B3" s="109"/>
      <c r="C3" s="109"/>
      <c r="D3" s="109"/>
      <c r="E3" s="109"/>
      <c r="G3" s="48"/>
      <c r="H3" s="50"/>
    </row>
    <row r="4" spans="1:15" s="46" customFormat="1" x14ac:dyDescent="0.2">
      <c r="A4" s="19" t="s">
        <v>31</v>
      </c>
      <c r="B4" s="108" t="s">
        <v>117</v>
      </c>
      <c r="C4" s="108"/>
      <c r="D4" s="108"/>
      <c r="E4" s="108"/>
      <c r="G4" s="48"/>
      <c r="H4" s="50"/>
    </row>
    <row r="5" spans="1:15" x14ac:dyDescent="0.25">
      <c r="A5" s="16" t="s">
        <v>32</v>
      </c>
      <c r="B5" s="110" t="s">
        <v>20</v>
      </c>
      <c r="C5" s="110"/>
      <c r="D5" s="110"/>
      <c r="E5" s="110"/>
      <c r="G5" s="48"/>
      <c r="H5" s="50"/>
    </row>
    <row r="6" spans="1:15" x14ac:dyDescent="0.25">
      <c r="A6" s="16" t="s">
        <v>33</v>
      </c>
      <c r="B6" s="108" t="s">
        <v>148</v>
      </c>
      <c r="C6" s="108"/>
      <c r="D6" s="108"/>
      <c r="E6" s="108"/>
      <c r="G6" s="48"/>
      <c r="H6" s="50"/>
    </row>
    <row r="7" spans="1:15" x14ac:dyDescent="0.25">
      <c r="A7" s="16"/>
      <c r="B7" s="16"/>
      <c r="C7" s="16"/>
      <c r="D7" s="16"/>
      <c r="E7" s="38"/>
      <c r="G7" s="48"/>
      <c r="H7" s="50"/>
    </row>
    <row r="8" spans="1:15" s="46" customFormat="1" ht="22.5" x14ac:dyDescent="0.2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G8" s="83"/>
      <c r="H8" s="1"/>
      <c r="I8" s="1"/>
      <c r="J8" s="84"/>
      <c r="K8" s="85"/>
      <c r="L8" s="85"/>
      <c r="M8" s="85"/>
      <c r="N8" s="86"/>
      <c r="O8" s="87"/>
    </row>
    <row r="9" spans="1:15" s="46" customFormat="1" x14ac:dyDescent="0.2">
      <c r="A9" s="23" t="s">
        <v>40</v>
      </c>
      <c r="B9" s="24">
        <v>20</v>
      </c>
      <c r="C9" s="24">
        <v>3</v>
      </c>
      <c r="D9" s="24">
        <f t="shared" ref="D9:D15" si="0">B9*C9</f>
        <v>60</v>
      </c>
      <c r="E9" s="25" t="s">
        <v>118</v>
      </c>
      <c r="G9" s="17"/>
      <c r="H9" s="18"/>
      <c r="J9" s="64"/>
      <c r="K9" s="88"/>
      <c r="L9" s="88"/>
    </row>
    <row r="10" spans="1:15" s="46" customFormat="1" x14ac:dyDescent="0.2">
      <c r="A10" s="23" t="s">
        <v>42</v>
      </c>
      <c r="B10" s="24">
        <v>20</v>
      </c>
      <c r="C10" s="24">
        <v>3</v>
      </c>
      <c r="D10" s="24">
        <f t="shared" si="0"/>
        <v>60</v>
      </c>
      <c r="E10" s="25" t="s">
        <v>119</v>
      </c>
      <c r="G10" s="17"/>
      <c r="H10" s="18"/>
      <c r="J10" s="64"/>
      <c r="K10" s="88"/>
      <c r="L10" s="88"/>
    </row>
    <row r="11" spans="1:15" s="46" customFormat="1" x14ac:dyDescent="0.2">
      <c r="A11" s="23" t="s">
        <v>45</v>
      </c>
      <c r="B11" s="24">
        <v>20</v>
      </c>
      <c r="C11" s="24">
        <v>2</v>
      </c>
      <c r="D11" s="24">
        <f t="shared" si="0"/>
        <v>40</v>
      </c>
      <c r="E11" s="25" t="s">
        <v>120</v>
      </c>
      <c r="G11" s="17"/>
      <c r="H11" s="18"/>
      <c r="J11" s="64"/>
      <c r="K11" s="88"/>
      <c r="L11" s="88"/>
    </row>
    <row r="12" spans="1:15" x14ac:dyDescent="0.25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121</v>
      </c>
      <c r="F12" s="46"/>
      <c r="G12" s="17"/>
      <c r="H12" s="18"/>
      <c r="I12" s="46"/>
      <c r="J12" s="64"/>
      <c r="K12" s="88"/>
      <c r="L12" s="88"/>
    </row>
    <row r="13" spans="1:15" ht="10.5" customHeight="1" x14ac:dyDescent="0.25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46"/>
      <c r="G13" s="17"/>
      <c r="H13" s="18"/>
      <c r="I13" s="46"/>
      <c r="J13" s="64"/>
      <c r="K13" s="88"/>
      <c r="L13" s="88"/>
    </row>
    <row r="14" spans="1:15" x14ac:dyDescent="0.25">
      <c r="A14" s="31" t="s">
        <v>51</v>
      </c>
      <c r="B14" s="6">
        <v>5</v>
      </c>
      <c r="C14" s="6">
        <v>3</v>
      </c>
      <c r="D14" s="24">
        <f t="shared" si="0"/>
        <v>15</v>
      </c>
      <c r="E14" s="31" t="s">
        <v>91</v>
      </c>
      <c r="G14" s="17"/>
      <c r="H14" s="18"/>
      <c r="J14" s="64"/>
      <c r="K14" s="88"/>
      <c r="L14" s="88"/>
    </row>
    <row r="15" spans="1:15" x14ac:dyDescent="0.25">
      <c r="A15" s="31" t="s">
        <v>53</v>
      </c>
      <c r="B15" s="6">
        <v>5</v>
      </c>
      <c r="C15" s="6">
        <v>4</v>
      </c>
      <c r="D15" s="6">
        <f t="shared" si="0"/>
        <v>20</v>
      </c>
      <c r="E15" s="35" t="s">
        <v>54</v>
      </c>
      <c r="J15" s="64"/>
      <c r="K15" s="88"/>
      <c r="L15" s="88"/>
    </row>
    <row r="16" spans="1:15" ht="15" hidden="1" customHeight="1" x14ac:dyDescent="0.25">
      <c r="A16" s="32"/>
      <c r="B16" s="4">
        <f>SUM(B9:B15)</f>
        <v>100</v>
      </c>
      <c r="C16" s="16"/>
      <c r="D16" s="4">
        <f>SUM(D9:D15)</f>
        <v>315</v>
      </c>
      <c r="E16" s="38"/>
      <c r="J16" s="64"/>
      <c r="K16" s="88"/>
      <c r="L16" s="88"/>
    </row>
    <row r="17" spans="1:12" ht="9.75" customHeight="1" x14ac:dyDescent="0.25">
      <c r="A17" s="111" t="s">
        <v>55</v>
      </c>
      <c r="B17" s="111"/>
      <c r="C17" s="111"/>
      <c r="D17" s="33">
        <f>D16/B16</f>
        <v>3.15</v>
      </c>
      <c r="E17" s="39" t="str">
        <f>IF(D17&gt;=3.7,"Excellent",IF(D17&gt;=3,"Good",IF(D17&lt;3,"Poor")))</f>
        <v>Good</v>
      </c>
      <c r="J17" s="64"/>
      <c r="K17" s="88"/>
      <c r="L17" s="88"/>
    </row>
    <row r="18" spans="1:12" x14ac:dyDescent="0.25">
      <c r="A18" s="16"/>
      <c r="B18" s="16"/>
      <c r="C18" s="16"/>
      <c r="D18" s="16"/>
      <c r="E18" s="38"/>
      <c r="J18" s="64"/>
      <c r="K18" s="88"/>
      <c r="L18" s="88"/>
    </row>
    <row r="19" spans="1:12" x14ac:dyDescent="0.25">
      <c r="A19" s="16" t="s">
        <v>56</v>
      </c>
      <c r="B19" s="16"/>
      <c r="C19" s="16"/>
      <c r="D19" s="16"/>
      <c r="E19" s="38"/>
      <c r="J19" s="64"/>
      <c r="K19" s="88"/>
      <c r="L19" s="88"/>
    </row>
    <row r="20" spans="1:12" x14ac:dyDescent="0.25">
      <c r="A20" s="16" t="s">
        <v>57</v>
      </c>
      <c r="B20" s="16"/>
      <c r="C20" s="16"/>
      <c r="D20" s="16"/>
      <c r="E20" s="38"/>
      <c r="J20" s="64"/>
      <c r="K20" s="88"/>
      <c r="L20" s="88"/>
    </row>
    <row r="21" spans="1:12" x14ac:dyDescent="0.25">
      <c r="A21" s="6" t="s">
        <v>58</v>
      </c>
      <c r="B21" s="6" t="s">
        <v>59</v>
      </c>
      <c r="C21" s="16"/>
      <c r="D21" s="16"/>
      <c r="E21" s="38"/>
    </row>
    <row r="22" spans="1:12" ht="12" customHeight="1" x14ac:dyDescent="0.25">
      <c r="A22" s="31" t="s">
        <v>60</v>
      </c>
      <c r="B22" s="6">
        <v>4</v>
      </c>
      <c r="C22" s="16"/>
      <c r="D22" s="16"/>
      <c r="E22" s="38"/>
    </row>
    <row r="23" spans="1:12" ht="10.5" customHeight="1" x14ac:dyDescent="0.25">
      <c r="A23" s="31" t="s">
        <v>61</v>
      </c>
      <c r="B23" s="6">
        <v>3</v>
      </c>
      <c r="C23" s="16"/>
      <c r="D23" s="16"/>
      <c r="E23" s="38"/>
    </row>
    <row r="24" spans="1:12" ht="10.5" customHeight="1" x14ac:dyDescent="0.25">
      <c r="A24" s="31" t="s">
        <v>62</v>
      </c>
      <c r="B24" s="6">
        <v>2</v>
      </c>
      <c r="C24" s="16"/>
      <c r="D24" s="16"/>
      <c r="E24" s="38"/>
    </row>
    <row r="25" spans="1:12" ht="10.5" customHeight="1" x14ac:dyDescent="0.25">
      <c r="A25" s="31" t="s">
        <v>63</v>
      </c>
      <c r="B25" s="6">
        <v>1</v>
      </c>
      <c r="C25" s="16"/>
      <c r="D25" s="16"/>
      <c r="E25" s="38"/>
    </row>
    <row r="26" spans="1:12" x14ac:dyDescent="0.25">
      <c r="A26" s="16"/>
      <c r="B26" s="16"/>
      <c r="C26" s="16"/>
      <c r="D26" s="16"/>
      <c r="E26" s="38"/>
    </row>
    <row r="27" spans="1:12" x14ac:dyDescent="0.25">
      <c r="A27" s="16" t="s">
        <v>64</v>
      </c>
      <c r="B27" s="16"/>
      <c r="C27" s="16"/>
      <c r="D27" s="16"/>
      <c r="E27" s="38"/>
    </row>
    <row r="28" spans="1:12" x14ac:dyDescent="0.25">
      <c r="A28" s="6" t="s">
        <v>65</v>
      </c>
      <c r="B28" s="6" t="s">
        <v>55</v>
      </c>
      <c r="C28" s="16"/>
      <c r="D28" s="16"/>
      <c r="E28" s="38"/>
    </row>
    <row r="29" spans="1:12" ht="12" customHeight="1" x14ac:dyDescent="0.25">
      <c r="A29" s="35" t="s">
        <v>66</v>
      </c>
      <c r="B29" s="36" t="s">
        <v>67</v>
      </c>
      <c r="C29" s="16"/>
      <c r="D29" s="16"/>
      <c r="E29" s="38"/>
    </row>
    <row r="30" spans="1:12" ht="12.75" customHeight="1" x14ac:dyDescent="0.25">
      <c r="A30" s="31" t="s">
        <v>68</v>
      </c>
      <c r="B30" s="36" t="s">
        <v>69</v>
      </c>
      <c r="C30" s="16"/>
      <c r="D30" s="16"/>
      <c r="E30" s="38"/>
    </row>
    <row r="31" spans="1:12" ht="9.75" customHeight="1" x14ac:dyDescent="0.25">
      <c r="A31" s="31" t="s">
        <v>70</v>
      </c>
      <c r="B31" s="36" t="s">
        <v>71</v>
      </c>
      <c r="C31" s="16"/>
      <c r="D31" s="16"/>
      <c r="E31" s="38"/>
    </row>
    <row r="32" spans="1:12" x14ac:dyDescent="0.25">
      <c r="A32" s="16"/>
      <c r="B32" s="16"/>
      <c r="C32" s="16"/>
      <c r="D32" s="16"/>
      <c r="E32" s="38"/>
    </row>
    <row r="33" spans="1:5" x14ac:dyDescent="0.25">
      <c r="A33" s="16"/>
      <c r="B33" s="16"/>
      <c r="C33" s="16"/>
      <c r="D33" s="16"/>
      <c r="E33" s="38"/>
    </row>
    <row r="34" spans="1:5" x14ac:dyDescent="0.25">
      <c r="A34" s="112" t="s">
        <v>72</v>
      </c>
      <c r="B34" s="112"/>
      <c r="C34" s="112"/>
      <c r="D34" s="112"/>
      <c r="E34" s="5" t="s">
        <v>73</v>
      </c>
    </row>
    <row r="35" spans="1:5" x14ac:dyDescent="0.25">
      <c r="A35" s="112"/>
      <c r="B35" s="112"/>
      <c r="C35" s="112"/>
      <c r="D35" s="112"/>
      <c r="E35" s="112"/>
    </row>
    <row r="36" spans="1:5" x14ac:dyDescent="0.25">
      <c r="A36" s="112"/>
      <c r="B36" s="112"/>
      <c r="C36" s="112"/>
      <c r="D36" s="112"/>
      <c r="E36" s="112"/>
    </row>
    <row r="37" spans="1:5" x14ac:dyDescent="0.25">
      <c r="A37" s="112"/>
      <c r="B37" s="112"/>
      <c r="C37" s="112"/>
      <c r="D37" s="112"/>
      <c r="E37" s="112"/>
    </row>
    <row r="38" spans="1:5" x14ac:dyDescent="0.25">
      <c r="A38" s="112"/>
      <c r="B38" s="112"/>
      <c r="C38" s="112"/>
      <c r="D38" s="112"/>
      <c r="E38" s="112"/>
    </row>
    <row r="39" spans="1:5" x14ac:dyDescent="0.25">
      <c r="A39" s="112" t="s">
        <v>74</v>
      </c>
      <c r="B39" s="112"/>
      <c r="C39" s="112"/>
      <c r="D39" s="112"/>
      <c r="E39" s="5" t="s">
        <v>75</v>
      </c>
    </row>
    <row r="40" spans="1:5" x14ac:dyDescent="0.25">
      <c r="A40" s="110" t="s">
        <v>76</v>
      </c>
      <c r="B40" s="110"/>
      <c r="C40" s="110"/>
      <c r="D40" s="110"/>
      <c r="E40" s="4" t="s">
        <v>77</v>
      </c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">
    <cfRule type="containsText" dxfId="27" priority="2" operator="containsText" text="Poor">
      <formula>NOT(ISERROR(SEARCH("Poor",E17)))</formula>
    </cfRule>
    <cfRule type="containsText" dxfId="26" priority="3" operator="containsText" text="Average">
      <formula>NOT(ISERROR(SEARCH("Average",E17)))</formula>
    </cfRule>
    <cfRule type="containsText" dxfId="25" priority="4" operator="containsText" text="Good">
      <formula>NOT(ISERROR(SEARCH("Good",E17)))</formula>
    </cfRule>
    <cfRule type="containsText" dxfId="24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paperSize="5"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43"/>
  <sheetViews>
    <sheetView topLeftCell="A4" zoomScale="89" zoomScaleNormal="89" workbookViewId="0">
      <selection activeCell="B6" sqref="B6:E6"/>
    </sheetView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43.85546875" style="77" customWidth="1"/>
    <col min="6" max="6" width="10.7109375" customWidth="1"/>
    <col min="7" max="7" width="9.7109375" customWidth="1"/>
    <col min="8" max="8" width="11" customWidth="1"/>
    <col min="10" max="10" width="16.7109375" customWidth="1"/>
  </cols>
  <sheetData>
    <row r="1" spans="1:15" ht="14.25" customHeight="1" x14ac:dyDescent="0.25">
      <c r="A1" s="110"/>
      <c r="B1" s="109" t="s">
        <v>30</v>
      </c>
      <c r="C1" s="109"/>
      <c r="D1" s="109"/>
      <c r="E1" s="109"/>
      <c r="F1" s="115"/>
      <c r="G1" s="115"/>
    </row>
    <row r="2" spans="1:15" ht="14.25" customHeight="1" x14ac:dyDescent="0.25">
      <c r="A2" s="110"/>
      <c r="B2" s="109"/>
      <c r="C2" s="109"/>
      <c r="D2" s="109"/>
      <c r="E2" s="109"/>
      <c r="F2" s="16"/>
      <c r="G2" s="82"/>
    </row>
    <row r="3" spans="1:15" x14ac:dyDescent="0.25">
      <c r="A3" s="110"/>
      <c r="B3" s="109"/>
      <c r="C3" s="109"/>
      <c r="D3" s="109"/>
      <c r="E3" s="109"/>
      <c r="F3" s="16"/>
      <c r="G3" s="17"/>
      <c r="H3" s="18"/>
      <c r="J3" s="89"/>
      <c r="K3" s="89"/>
      <c r="L3" s="89"/>
    </row>
    <row r="4" spans="1:15" x14ac:dyDescent="0.25">
      <c r="A4" s="16" t="s">
        <v>31</v>
      </c>
      <c r="B4" s="110" t="s">
        <v>21</v>
      </c>
      <c r="C4" s="110"/>
      <c r="D4" s="110"/>
      <c r="E4" s="110"/>
      <c r="F4" s="16"/>
      <c r="G4" s="17"/>
      <c r="H4" s="18"/>
      <c r="J4" s="90"/>
      <c r="K4" s="91"/>
      <c r="L4" s="91"/>
    </row>
    <row r="5" spans="1:15" x14ac:dyDescent="0.25">
      <c r="A5" s="16" t="s">
        <v>32</v>
      </c>
      <c r="B5" s="110" t="s">
        <v>22</v>
      </c>
      <c r="C5" s="110"/>
      <c r="D5" s="110"/>
      <c r="E5" s="110"/>
      <c r="F5" s="16"/>
      <c r="G5" s="17"/>
      <c r="H5" s="18"/>
      <c r="J5" s="90"/>
      <c r="K5" s="91"/>
      <c r="L5" s="91"/>
    </row>
    <row r="6" spans="1:15" x14ac:dyDescent="0.25">
      <c r="A6" s="16" t="s">
        <v>33</v>
      </c>
      <c r="B6" s="108" t="s">
        <v>148</v>
      </c>
      <c r="C6" s="108"/>
      <c r="D6" s="108"/>
      <c r="E6" s="108"/>
      <c r="F6" s="16"/>
      <c r="G6" s="17"/>
      <c r="H6" s="18"/>
      <c r="J6" s="90"/>
      <c r="K6" s="91"/>
      <c r="L6" s="91"/>
    </row>
    <row r="7" spans="1:15" x14ac:dyDescent="0.25">
      <c r="A7" s="16"/>
      <c r="B7" s="16"/>
      <c r="C7" s="16"/>
      <c r="D7" s="16"/>
      <c r="E7" s="38"/>
      <c r="F7" s="16"/>
      <c r="G7" s="92"/>
      <c r="H7" s="93"/>
      <c r="J7" s="90"/>
      <c r="K7" s="91"/>
      <c r="L7" s="91"/>
    </row>
    <row r="8" spans="1:15" s="46" customFormat="1" ht="22.5" x14ac:dyDescent="0.1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19"/>
      <c r="G8" s="22"/>
      <c r="H8" s="22"/>
      <c r="I8" s="22"/>
      <c r="J8" s="22"/>
      <c r="K8" s="22"/>
      <c r="L8" s="22"/>
      <c r="M8" s="22"/>
      <c r="N8" s="22"/>
      <c r="O8" s="22"/>
    </row>
    <row r="9" spans="1:15" s="46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113</v>
      </c>
      <c r="F9" s="19"/>
      <c r="G9" s="2"/>
      <c r="H9" s="3"/>
      <c r="I9" s="116"/>
      <c r="J9" s="116"/>
      <c r="K9" s="28"/>
      <c r="L9" s="28"/>
      <c r="M9" s="28"/>
      <c r="N9" s="29"/>
      <c r="O9" s="30"/>
    </row>
    <row r="10" spans="1:15" s="46" customFormat="1" x14ac:dyDescent="0.1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123</v>
      </c>
      <c r="F10" s="19"/>
      <c r="G10" s="2"/>
      <c r="H10" s="3"/>
      <c r="I10" s="116"/>
      <c r="J10" s="116"/>
      <c r="K10" s="28"/>
      <c r="L10" s="28"/>
      <c r="M10" s="28"/>
      <c r="N10" s="29"/>
      <c r="O10" s="30"/>
    </row>
    <row r="11" spans="1:15" s="46" customFormat="1" x14ac:dyDescent="0.15">
      <c r="A11" s="23" t="s">
        <v>45</v>
      </c>
      <c r="B11" s="24">
        <v>20</v>
      </c>
      <c r="C11" s="24">
        <v>4</v>
      </c>
      <c r="D11" s="24">
        <f t="shared" si="0"/>
        <v>80</v>
      </c>
      <c r="E11" s="25" t="s">
        <v>124</v>
      </c>
      <c r="F11" s="19"/>
      <c r="G11" s="2"/>
      <c r="H11" s="3"/>
      <c r="I11" s="116"/>
      <c r="J11" s="116"/>
      <c r="K11" s="28"/>
      <c r="L11" s="28"/>
      <c r="M11" s="28"/>
      <c r="N11" s="29"/>
      <c r="O11" s="30"/>
    </row>
    <row r="12" spans="1:15" ht="10.5" customHeight="1" x14ac:dyDescent="0.25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116</v>
      </c>
      <c r="F12" s="19"/>
      <c r="G12" s="2"/>
      <c r="H12" s="3"/>
      <c r="I12" s="116"/>
      <c r="J12" s="116"/>
      <c r="K12" s="28"/>
      <c r="L12" s="28"/>
      <c r="M12" s="28"/>
      <c r="N12" s="29"/>
      <c r="O12" s="30"/>
    </row>
    <row r="13" spans="1:15" ht="13.5" customHeight="1" x14ac:dyDescent="0.25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19"/>
      <c r="G13" s="2"/>
      <c r="H13" s="3"/>
      <c r="I13" s="116"/>
      <c r="J13" s="116"/>
      <c r="K13" s="28"/>
      <c r="L13" s="28"/>
      <c r="M13" s="28"/>
      <c r="N13" s="29"/>
      <c r="O13" s="30"/>
    </row>
    <row r="14" spans="1:15" ht="12" customHeight="1" x14ac:dyDescent="0.25">
      <c r="A14" s="31" t="s">
        <v>51</v>
      </c>
      <c r="B14" s="6">
        <v>5</v>
      </c>
      <c r="C14" s="6">
        <v>3</v>
      </c>
      <c r="D14" s="24">
        <f t="shared" si="0"/>
        <v>15</v>
      </c>
      <c r="E14" s="31" t="s">
        <v>91</v>
      </c>
      <c r="F14" s="19"/>
      <c r="G14" s="2"/>
      <c r="H14" s="3"/>
      <c r="I14" s="116"/>
      <c r="J14" s="116"/>
      <c r="K14" s="28"/>
      <c r="L14" s="28"/>
      <c r="M14" s="28"/>
      <c r="N14" s="29"/>
      <c r="O14" s="30"/>
    </row>
    <row r="15" spans="1:15" x14ac:dyDescent="0.25">
      <c r="A15" s="31" t="s">
        <v>53</v>
      </c>
      <c r="B15" s="6">
        <v>5</v>
      </c>
      <c r="C15" s="6">
        <v>4</v>
      </c>
      <c r="D15" s="6">
        <f t="shared" si="0"/>
        <v>20</v>
      </c>
      <c r="E15" s="35" t="s">
        <v>54</v>
      </c>
      <c r="F15" s="19"/>
      <c r="G15" s="2"/>
      <c r="H15" s="3"/>
      <c r="I15" s="116"/>
      <c r="J15" s="116"/>
      <c r="K15" s="28"/>
      <c r="L15" s="28"/>
      <c r="M15" s="28"/>
      <c r="N15" s="29"/>
      <c r="O15" s="30"/>
    </row>
    <row r="16" spans="1:15" hidden="1" x14ac:dyDescent="0.25">
      <c r="A16" s="32"/>
      <c r="B16" s="4">
        <f>SUM(B9:B15)</f>
        <v>100</v>
      </c>
      <c r="C16" s="16"/>
      <c r="D16" s="4">
        <f>SUM(D9:D15)</f>
        <v>395</v>
      </c>
      <c r="E16" s="38"/>
      <c r="F16" s="16"/>
      <c r="G16" s="2"/>
      <c r="H16" s="3"/>
      <c r="I16" s="116"/>
      <c r="J16" s="116"/>
      <c r="K16" s="28"/>
      <c r="L16" s="28"/>
      <c r="M16" s="28"/>
      <c r="N16" s="29"/>
      <c r="O16" s="30"/>
    </row>
    <row r="17" spans="1:15" ht="12" customHeight="1" x14ac:dyDescent="0.25">
      <c r="A17" s="111" t="s">
        <v>55</v>
      </c>
      <c r="B17" s="111"/>
      <c r="C17" s="111"/>
      <c r="D17" s="33">
        <f>D16/B16</f>
        <v>3.95</v>
      </c>
      <c r="E17" s="39" t="str">
        <f>IF(D17&gt;=3.7,"Excellent",IF(D17&gt;=3,"Good",IF(D17&lt;3,"Poor")))</f>
        <v>Excellent</v>
      </c>
      <c r="F17" s="16"/>
      <c r="G17" s="2"/>
      <c r="H17" s="3"/>
      <c r="I17" s="116"/>
      <c r="J17" s="116"/>
      <c r="K17" s="28"/>
      <c r="L17" s="28"/>
      <c r="M17" s="28"/>
      <c r="N17" s="29"/>
      <c r="O17" s="30"/>
    </row>
    <row r="18" spans="1:15" x14ac:dyDescent="0.25">
      <c r="A18" s="16"/>
      <c r="B18" s="16"/>
      <c r="C18" s="16"/>
      <c r="D18" s="16"/>
      <c r="E18" s="38"/>
      <c r="F18" s="19"/>
      <c r="G18" s="2"/>
      <c r="H18" s="3"/>
      <c r="I18" s="116"/>
      <c r="J18" s="116"/>
      <c r="K18" s="28"/>
      <c r="L18" s="28"/>
      <c r="M18" s="28"/>
      <c r="N18" s="29"/>
      <c r="O18" s="30"/>
    </row>
    <row r="19" spans="1:15" x14ac:dyDescent="0.25">
      <c r="A19" s="16" t="s">
        <v>56</v>
      </c>
      <c r="B19" s="16"/>
      <c r="C19" s="16"/>
      <c r="D19" s="16"/>
      <c r="E19" s="38"/>
      <c r="F19" s="19"/>
      <c r="G19" s="2"/>
      <c r="H19" s="3"/>
      <c r="I19" s="116"/>
      <c r="J19" s="116"/>
      <c r="K19" s="28"/>
      <c r="L19" s="28"/>
      <c r="M19" s="28"/>
      <c r="N19" s="29"/>
      <c r="O19" s="30"/>
    </row>
    <row r="20" spans="1:15" x14ac:dyDescent="0.25">
      <c r="A20" s="16" t="s">
        <v>57</v>
      </c>
      <c r="B20" s="16"/>
      <c r="C20" s="16"/>
      <c r="D20" s="16"/>
      <c r="E20" s="38"/>
      <c r="F20" s="19"/>
      <c r="G20" s="2"/>
      <c r="H20" s="3"/>
      <c r="I20" s="116"/>
      <c r="J20" s="116"/>
      <c r="K20" s="28"/>
      <c r="L20" s="28"/>
      <c r="M20" s="28"/>
      <c r="N20" s="29"/>
      <c r="O20" s="30"/>
    </row>
    <row r="21" spans="1:15" x14ac:dyDescent="0.25">
      <c r="A21" s="6" t="s">
        <v>58</v>
      </c>
      <c r="B21" s="6" t="s">
        <v>59</v>
      </c>
      <c r="C21" s="16"/>
      <c r="D21" s="16"/>
      <c r="E21" s="38"/>
      <c r="F21" s="19"/>
      <c r="G21" s="2"/>
      <c r="H21" s="3"/>
      <c r="I21" s="116"/>
      <c r="J21" s="116"/>
      <c r="K21" s="28"/>
      <c r="L21" s="28"/>
      <c r="M21" s="28"/>
      <c r="N21" s="29"/>
      <c r="O21" s="30"/>
    </row>
    <row r="22" spans="1:15" ht="12" customHeight="1" x14ac:dyDescent="0.25">
      <c r="A22" s="31" t="s">
        <v>60</v>
      </c>
      <c r="B22" s="6">
        <v>4</v>
      </c>
      <c r="C22" s="16"/>
      <c r="D22" s="16"/>
      <c r="E22" s="38"/>
      <c r="F22" s="94"/>
      <c r="G22" s="2"/>
      <c r="H22" s="3"/>
      <c r="I22" s="116"/>
      <c r="J22" s="116"/>
      <c r="K22" s="28"/>
      <c r="L22" s="28"/>
      <c r="M22" s="28"/>
      <c r="N22" s="29"/>
      <c r="O22" s="30"/>
    </row>
    <row r="23" spans="1:15" ht="10.5" customHeight="1" x14ac:dyDescent="0.25">
      <c r="A23" s="31" t="s">
        <v>61</v>
      </c>
      <c r="B23" s="6">
        <v>3</v>
      </c>
      <c r="C23" s="16"/>
      <c r="D23" s="16"/>
      <c r="E23" s="38"/>
      <c r="F23" s="16"/>
      <c r="G23" s="2"/>
      <c r="H23" s="3"/>
      <c r="I23" s="116"/>
      <c r="J23" s="116"/>
      <c r="K23" s="28"/>
      <c r="L23" s="28"/>
      <c r="M23" s="28"/>
      <c r="N23" s="29"/>
      <c r="O23" s="30"/>
    </row>
    <row r="24" spans="1:15" ht="12" customHeight="1" x14ac:dyDescent="0.25">
      <c r="A24" s="31" t="s">
        <v>62</v>
      </c>
      <c r="B24" s="6">
        <v>2</v>
      </c>
      <c r="C24" s="16"/>
      <c r="D24" s="16"/>
      <c r="E24" s="38"/>
      <c r="F24" s="16"/>
      <c r="G24" s="2"/>
      <c r="H24" s="3"/>
      <c r="I24" s="116"/>
      <c r="J24" s="116"/>
      <c r="K24" s="28"/>
      <c r="L24" s="28"/>
      <c r="M24" s="28"/>
      <c r="N24" s="29"/>
      <c r="O24" s="30"/>
    </row>
    <row r="25" spans="1:15" ht="10.5" customHeight="1" x14ac:dyDescent="0.25">
      <c r="A25" s="31" t="s">
        <v>63</v>
      </c>
      <c r="B25" s="6">
        <v>1</v>
      </c>
      <c r="C25" s="16"/>
      <c r="D25" s="16"/>
      <c r="E25" s="38"/>
      <c r="F25" s="16"/>
      <c r="G25" s="2"/>
      <c r="H25" s="3"/>
      <c r="I25" s="116"/>
      <c r="J25" s="116"/>
      <c r="K25" s="28"/>
      <c r="L25" s="28"/>
      <c r="M25" s="28"/>
      <c r="N25" s="29"/>
      <c r="O25" s="30"/>
    </row>
    <row r="26" spans="1:15" x14ac:dyDescent="0.25">
      <c r="A26" s="16"/>
      <c r="B26" s="16"/>
      <c r="C26" s="16"/>
      <c r="D26" s="16"/>
      <c r="E26" s="38"/>
      <c r="F26" s="16"/>
      <c r="G26" s="17"/>
      <c r="H26" s="18"/>
      <c r="J26" s="90"/>
      <c r="K26" s="91"/>
      <c r="L26" s="91"/>
    </row>
    <row r="27" spans="1:15" x14ac:dyDescent="0.25">
      <c r="A27" s="16" t="s">
        <v>64</v>
      </c>
      <c r="B27" s="16"/>
      <c r="C27" s="16"/>
      <c r="D27" s="16"/>
      <c r="E27" s="38"/>
      <c r="F27" s="16"/>
      <c r="G27" s="82"/>
      <c r="J27" s="90"/>
      <c r="K27" s="91"/>
      <c r="L27" s="91"/>
    </row>
    <row r="28" spans="1:15" ht="12" customHeight="1" x14ac:dyDescent="0.25">
      <c r="A28" s="6" t="s">
        <v>65</v>
      </c>
      <c r="B28" s="6" t="s">
        <v>55</v>
      </c>
      <c r="C28" s="16"/>
      <c r="D28" s="16"/>
      <c r="E28" s="38"/>
      <c r="F28" s="16"/>
      <c r="G28" s="82"/>
      <c r="J28" s="90"/>
      <c r="K28" s="91"/>
      <c r="L28" s="91"/>
    </row>
    <row r="29" spans="1:15" ht="11.25" customHeight="1" x14ac:dyDescent="0.25">
      <c r="A29" s="35" t="s">
        <v>66</v>
      </c>
      <c r="B29" s="36" t="s">
        <v>67</v>
      </c>
      <c r="C29" s="16"/>
      <c r="D29" s="16"/>
      <c r="E29" s="38"/>
      <c r="F29" s="16"/>
      <c r="G29" s="82"/>
      <c r="J29" s="90"/>
      <c r="K29" s="91"/>
      <c r="L29" s="91"/>
    </row>
    <row r="30" spans="1:15" x14ac:dyDescent="0.25">
      <c r="A30" s="31" t="s">
        <v>68</v>
      </c>
      <c r="B30" s="36" t="s">
        <v>69</v>
      </c>
      <c r="C30" s="16"/>
      <c r="D30" s="16"/>
      <c r="E30" s="38"/>
      <c r="F30" s="19"/>
      <c r="G30" s="81"/>
      <c r="J30" s="90"/>
      <c r="K30" s="91"/>
      <c r="L30" s="91"/>
    </row>
    <row r="31" spans="1:15" x14ac:dyDescent="0.25">
      <c r="A31" s="31" t="s">
        <v>70</v>
      </c>
      <c r="B31" s="36" t="s">
        <v>71</v>
      </c>
      <c r="C31" s="16"/>
      <c r="D31" s="16"/>
      <c r="E31" s="38"/>
      <c r="F31" s="19"/>
      <c r="G31" s="81"/>
      <c r="J31" s="90"/>
      <c r="K31" s="91"/>
      <c r="L31" s="91"/>
    </row>
    <row r="32" spans="1:15" x14ac:dyDescent="0.25">
      <c r="A32" s="16"/>
      <c r="B32" s="110"/>
      <c r="C32" s="110"/>
      <c r="D32" s="110"/>
      <c r="E32" s="95"/>
      <c r="F32" s="19"/>
      <c r="G32" s="81"/>
      <c r="J32" s="90"/>
      <c r="K32" s="91"/>
      <c r="L32" s="91"/>
    </row>
    <row r="33" spans="1:12" x14ac:dyDescent="0.25">
      <c r="A33" s="112" t="s">
        <v>72</v>
      </c>
      <c r="B33" s="112"/>
      <c r="C33" s="112"/>
      <c r="D33" s="112"/>
      <c r="E33" s="5" t="s">
        <v>73</v>
      </c>
      <c r="F33" s="19"/>
      <c r="G33" s="81"/>
      <c r="J33" s="90"/>
      <c r="K33" s="91"/>
      <c r="L33" s="91"/>
    </row>
    <row r="34" spans="1:12" x14ac:dyDescent="0.25">
      <c r="A34" s="112"/>
      <c r="B34" s="112"/>
      <c r="C34" s="112"/>
      <c r="D34" s="112"/>
      <c r="E34" s="112"/>
      <c r="F34" s="19"/>
      <c r="G34" s="81"/>
      <c r="J34" s="90"/>
      <c r="K34" s="91"/>
      <c r="L34" s="91"/>
    </row>
    <row r="35" spans="1:12" x14ac:dyDescent="0.25">
      <c r="A35" s="112"/>
      <c r="B35" s="112"/>
      <c r="C35" s="112"/>
      <c r="D35" s="112"/>
      <c r="E35" s="112"/>
      <c r="F35" s="19"/>
      <c r="G35" s="81"/>
      <c r="J35" s="90"/>
      <c r="K35" s="91"/>
      <c r="L35" s="91"/>
    </row>
    <row r="36" spans="1:12" x14ac:dyDescent="0.25">
      <c r="A36" s="112"/>
      <c r="B36" s="112"/>
      <c r="C36" s="112"/>
      <c r="D36" s="112"/>
      <c r="E36" s="112"/>
      <c r="F36" s="19"/>
      <c r="G36" s="81"/>
      <c r="J36" s="90"/>
      <c r="K36" s="91"/>
      <c r="L36" s="91"/>
    </row>
    <row r="37" spans="1:12" x14ac:dyDescent="0.25">
      <c r="A37" s="112"/>
      <c r="B37" s="112"/>
      <c r="C37" s="112"/>
      <c r="D37" s="112"/>
      <c r="E37" s="112"/>
      <c r="F37" s="19"/>
      <c r="G37" s="81"/>
      <c r="J37" s="90"/>
      <c r="K37" s="91"/>
      <c r="L37" s="91"/>
    </row>
    <row r="38" spans="1:12" x14ac:dyDescent="0.25">
      <c r="A38" s="112" t="s">
        <v>74</v>
      </c>
      <c r="B38" s="112"/>
      <c r="C38" s="112"/>
      <c r="D38" s="112"/>
      <c r="E38" s="5" t="s">
        <v>75</v>
      </c>
      <c r="F38" s="19"/>
      <c r="G38" s="81"/>
      <c r="J38" s="90"/>
      <c r="K38" s="91"/>
      <c r="L38" s="91"/>
    </row>
    <row r="39" spans="1:12" x14ac:dyDescent="0.25">
      <c r="A39" s="110" t="s">
        <v>76</v>
      </c>
      <c r="B39" s="110"/>
      <c r="C39" s="110"/>
      <c r="D39" s="110"/>
      <c r="E39" s="4" t="s">
        <v>77</v>
      </c>
      <c r="F39" s="16"/>
      <c r="G39" s="81"/>
      <c r="J39" s="90"/>
      <c r="K39" s="91"/>
      <c r="L39" s="91"/>
    </row>
    <row r="40" spans="1:12" x14ac:dyDescent="0.25">
      <c r="F40" s="19"/>
      <c r="G40" s="81"/>
      <c r="J40" s="90"/>
      <c r="K40" s="91"/>
      <c r="L40" s="91"/>
    </row>
    <row r="41" spans="1:12" x14ac:dyDescent="0.25">
      <c r="F41" s="19"/>
      <c r="G41" s="81"/>
      <c r="J41" s="90"/>
      <c r="K41" s="91"/>
      <c r="L41" s="91"/>
    </row>
    <row r="42" spans="1:12" x14ac:dyDescent="0.25">
      <c r="F42" s="19"/>
      <c r="G42" s="81"/>
    </row>
    <row r="43" spans="1:12" x14ac:dyDescent="0.25">
      <c r="F43" s="19"/>
      <c r="G43" s="81"/>
    </row>
  </sheetData>
  <mergeCells count="30">
    <mergeCell ref="A34:D37"/>
    <mergeCell ref="E34:E37"/>
    <mergeCell ref="A38:D38"/>
    <mergeCell ref="A39:D39"/>
    <mergeCell ref="I23:J23"/>
    <mergeCell ref="I24:J24"/>
    <mergeCell ref="I25:J25"/>
    <mergeCell ref="B32:D32"/>
    <mergeCell ref="A33:D33"/>
    <mergeCell ref="I18:J18"/>
    <mergeCell ref="I19:J19"/>
    <mergeCell ref="I20:J20"/>
    <mergeCell ref="I21:J21"/>
    <mergeCell ref="I22:J22"/>
    <mergeCell ref="I13:J13"/>
    <mergeCell ref="I14:J14"/>
    <mergeCell ref="I15:J15"/>
    <mergeCell ref="I16:J16"/>
    <mergeCell ref="A17:C17"/>
    <mergeCell ref="I17:J17"/>
    <mergeCell ref="B6:E6"/>
    <mergeCell ref="I9:J9"/>
    <mergeCell ref="I10:J10"/>
    <mergeCell ref="I11:J11"/>
    <mergeCell ref="I12:J12"/>
    <mergeCell ref="A1:A3"/>
    <mergeCell ref="B1:E3"/>
    <mergeCell ref="F1:G1"/>
    <mergeCell ref="B4:E4"/>
    <mergeCell ref="B5:E5"/>
  </mergeCells>
  <conditionalFormatting sqref="E17">
    <cfRule type="containsText" dxfId="23" priority="2" operator="containsText" text="Poor">
      <formula>NOT(ISERROR(SEARCH("Poor",E17)))</formula>
    </cfRule>
    <cfRule type="containsText" dxfId="22" priority="3" operator="containsText" text="Average">
      <formula>NOT(ISERROR(SEARCH("Average",E17)))</formula>
    </cfRule>
    <cfRule type="containsText" dxfId="21" priority="4" operator="containsText" text="Good">
      <formula>NOT(ISERROR(SEARCH("Good",E17)))</formula>
    </cfRule>
    <cfRule type="containsText" dxfId="20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43"/>
  <sheetViews>
    <sheetView topLeftCell="B4" zoomScale="89" zoomScaleNormal="89" workbookViewId="0">
      <selection activeCell="B6" sqref="B6:E6"/>
    </sheetView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49.140625" style="77" customWidth="1"/>
    <col min="6" max="7" width="10.7109375" style="46" customWidth="1"/>
    <col min="8" max="8" width="9.42578125" customWidth="1"/>
    <col min="9" max="9" width="11.140625" customWidth="1"/>
    <col min="10" max="10" width="8.85546875" style="46" customWidth="1"/>
    <col min="11" max="11" width="21.7109375" style="54" customWidth="1"/>
    <col min="12" max="12" width="11" customWidth="1"/>
    <col min="13" max="14" width="8.85546875" customWidth="1"/>
    <col min="16" max="17" width="8.85546875" customWidth="1"/>
  </cols>
  <sheetData>
    <row r="1" spans="1:15" ht="14.25" customHeight="1" x14ac:dyDescent="0.25">
      <c r="A1" s="110"/>
      <c r="B1" s="109" t="s">
        <v>30</v>
      </c>
      <c r="C1" s="109"/>
      <c r="D1" s="109"/>
      <c r="E1" s="109"/>
      <c r="F1" s="110"/>
      <c r="G1" s="110"/>
      <c r="I1" s="110"/>
      <c r="J1" s="110"/>
      <c r="K1" s="110"/>
      <c r="L1" s="110"/>
      <c r="M1" s="110"/>
    </row>
    <row r="2" spans="1:15" ht="14.25" customHeight="1" x14ac:dyDescent="0.25">
      <c r="A2" s="110"/>
      <c r="B2" s="109"/>
      <c r="C2" s="109"/>
      <c r="D2" s="109"/>
      <c r="E2" s="109"/>
      <c r="F2" s="19"/>
      <c r="G2" s="47"/>
      <c r="I2" s="19"/>
      <c r="J2" s="82"/>
      <c r="K2" s="8"/>
      <c r="L2" s="16"/>
      <c r="M2" s="47"/>
    </row>
    <row r="3" spans="1:15" x14ac:dyDescent="0.25">
      <c r="A3" s="110"/>
      <c r="B3" s="109"/>
      <c r="C3" s="109"/>
      <c r="D3" s="109"/>
      <c r="E3" s="109"/>
      <c r="F3" s="19"/>
      <c r="G3" s="47"/>
      <c r="I3" s="19"/>
      <c r="J3" s="82"/>
      <c r="K3" s="8"/>
      <c r="L3" s="16"/>
      <c r="M3" s="47"/>
    </row>
    <row r="4" spans="1:15" x14ac:dyDescent="0.25">
      <c r="A4" s="16" t="s">
        <v>31</v>
      </c>
      <c r="B4" s="110" t="s">
        <v>23</v>
      </c>
      <c r="C4" s="110"/>
      <c r="D4" s="110"/>
      <c r="E4" s="110"/>
      <c r="F4" s="19"/>
      <c r="G4" s="45"/>
      <c r="H4" s="8"/>
      <c r="I4" s="16"/>
      <c r="J4" s="47"/>
    </row>
    <row r="5" spans="1:15" x14ac:dyDescent="0.25">
      <c r="A5" s="16" t="s">
        <v>32</v>
      </c>
      <c r="B5" s="110" t="s">
        <v>24</v>
      </c>
      <c r="C5" s="110"/>
      <c r="D5" s="110"/>
      <c r="E5" s="110"/>
      <c r="F5" s="19"/>
      <c r="G5" s="45"/>
      <c r="H5" s="8"/>
      <c r="I5" s="16"/>
      <c r="J5" s="47"/>
    </row>
    <row r="6" spans="1:15" x14ac:dyDescent="0.25">
      <c r="A6" s="16" t="s">
        <v>33</v>
      </c>
      <c r="B6" s="108" t="s">
        <v>148</v>
      </c>
      <c r="C6" s="108"/>
      <c r="D6" s="108"/>
      <c r="E6" s="108"/>
      <c r="F6" s="19"/>
      <c r="G6" s="45"/>
      <c r="H6" s="8"/>
      <c r="I6" s="16"/>
      <c r="J6" s="47"/>
    </row>
    <row r="7" spans="1:15" x14ac:dyDescent="0.25">
      <c r="A7" s="16"/>
      <c r="B7" s="16"/>
      <c r="C7" s="16"/>
      <c r="D7" s="16"/>
      <c r="E7" s="38"/>
      <c r="F7" s="19"/>
      <c r="G7" s="45"/>
      <c r="H7" s="8"/>
      <c r="I7" s="16"/>
      <c r="J7" s="47"/>
    </row>
    <row r="8" spans="1:15" ht="22.5" x14ac:dyDescent="0.2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19"/>
      <c r="G8" s="22"/>
      <c r="H8" s="22"/>
      <c r="I8" s="22"/>
      <c r="J8" s="22"/>
      <c r="K8" s="22"/>
      <c r="L8" s="22"/>
      <c r="M8" s="22"/>
      <c r="N8" s="22"/>
      <c r="O8" s="22"/>
    </row>
    <row r="9" spans="1:15" x14ac:dyDescent="0.2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113</v>
      </c>
      <c r="F9" s="19"/>
      <c r="G9" s="2"/>
      <c r="H9" s="3"/>
      <c r="I9" s="116"/>
      <c r="J9" s="116"/>
      <c r="K9" s="28"/>
      <c r="L9" s="28"/>
      <c r="M9" s="28"/>
      <c r="N9" s="29"/>
      <c r="O9" s="30"/>
    </row>
    <row r="10" spans="1:15" x14ac:dyDescent="0.2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123</v>
      </c>
      <c r="F10" s="19"/>
      <c r="G10" s="2"/>
      <c r="H10" s="3"/>
      <c r="I10" s="116"/>
      <c r="J10" s="116"/>
      <c r="K10" s="28"/>
      <c r="L10" s="28"/>
      <c r="M10" s="28"/>
      <c r="N10" s="29"/>
      <c r="O10" s="30"/>
    </row>
    <row r="11" spans="1:15" x14ac:dyDescent="0.25">
      <c r="A11" s="23" t="s">
        <v>45</v>
      </c>
      <c r="B11" s="24">
        <v>20</v>
      </c>
      <c r="C11" s="24">
        <v>4</v>
      </c>
      <c r="D11" s="24">
        <f t="shared" si="0"/>
        <v>80</v>
      </c>
      <c r="E11" s="25" t="s">
        <v>124</v>
      </c>
      <c r="F11" s="19"/>
      <c r="G11" s="2"/>
      <c r="H11" s="3"/>
      <c r="I11" s="116"/>
      <c r="J11" s="116"/>
      <c r="K11" s="28"/>
      <c r="L11" s="28"/>
      <c r="M11" s="28"/>
      <c r="N11" s="29"/>
      <c r="O11" s="30"/>
    </row>
    <row r="12" spans="1:15" x14ac:dyDescent="0.25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116</v>
      </c>
      <c r="F12" s="19"/>
      <c r="G12" s="2"/>
      <c r="H12" s="3"/>
      <c r="I12" s="116"/>
      <c r="J12" s="116"/>
      <c r="K12" s="28"/>
      <c r="L12" s="28"/>
      <c r="M12" s="28"/>
      <c r="N12" s="29"/>
      <c r="O12" s="30"/>
    </row>
    <row r="13" spans="1:15" x14ac:dyDescent="0.25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19"/>
      <c r="G13" s="2"/>
      <c r="H13" s="3"/>
      <c r="I13" s="116"/>
      <c r="J13" s="116"/>
      <c r="K13" s="28"/>
      <c r="L13" s="28"/>
      <c r="M13" s="28"/>
      <c r="N13" s="29"/>
      <c r="O13" s="30"/>
    </row>
    <row r="14" spans="1:15" x14ac:dyDescent="0.25">
      <c r="A14" s="31" t="s">
        <v>51</v>
      </c>
      <c r="B14" s="6">
        <v>5</v>
      </c>
      <c r="C14" s="6">
        <v>3</v>
      </c>
      <c r="D14" s="24">
        <f t="shared" si="0"/>
        <v>15</v>
      </c>
      <c r="E14" s="31" t="s">
        <v>91</v>
      </c>
      <c r="F14" s="19"/>
      <c r="G14" s="2"/>
      <c r="H14" s="3"/>
      <c r="I14" s="116"/>
      <c r="J14" s="116"/>
      <c r="K14" s="28"/>
      <c r="L14" s="28"/>
      <c r="M14" s="28"/>
      <c r="N14" s="29"/>
      <c r="O14" s="30"/>
    </row>
    <row r="15" spans="1:15" x14ac:dyDescent="0.25">
      <c r="A15" s="31" t="s">
        <v>53</v>
      </c>
      <c r="B15" s="6">
        <v>5</v>
      </c>
      <c r="C15" s="6">
        <v>4</v>
      </c>
      <c r="D15" s="6">
        <f t="shared" si="0"/>
        <v>20</v>
      </c>
      <c r="E15" s="35" t="s">
        <v>54</v>
      </c>
      <c r="F15" s="19"/>
      <c r="G15" s="2"/>
      <c r="H15" s="3"/>
      <c r="I15" s="116"/>
      <c r="J15" s="116"/>
      <c r="K15" s="28"/>
      <c r="L15" s="28"/>
      <c r="M15" s="28"/>
      <c r="N15" s="29"/>
      <c r="O15" s="30"/>
    </row>
    <row r="16" spans="1:15" ht="15" hidden="1" customHeight="1" x14ac:dyDescent="0.25">
      <c r="A16" s="6"/>
      <c r="B16" s="4">
        <f>SUM(B9:B15)</f>
        <v>100</v>
      </c>
      <c r="C16" s="16"/>
      <c r="D16" s="4">
        <f>SUM(D9:D15)</f>
        <v>395</v>
      </c>
      <c r="E16" s="38"/>
      <c r="F16" s="19"/>
      <c r="G16" s="2"/>
      <c r="H16" s="3"/>
      <c r="I16" s="116"/>
      <c r="J16" s="116"/>
      <c r="K16" s="28"/>
      <c r="L16" s="28"/>
      <c r="M16" s="28"/>
      <c r="N16" s="29"/>
      <c r="O16" s="30"/>
    </row>
    <row r="17" spans="1:15" x14ac:dyDescent="0.25">
      <c r="A17" s="111" t="s">
        <v>55</v>
      </c>
      <c r="B17" s="111"/>
      <c r="C17" s="111"/>
      <c r="D17" s="33">
        <f>D16/B16</f>
        <v>3.95</v>
      </c>
      <c r="E17" s="39" t="str">
        <f>IF(D17&gt;=3.7,"Excellent",IF(D17&gt;=3,"Good",IF(D17&lt;3,"Poor")))</f>
        <v>Excellent</v>
      </c>
      <c r="F17" s="19"/>
      <c r="G17" s="2"/>
      <c r="H17" s="3"/>
      <c r="I17" s="116"/>
      <c r="J17" s="116"/>
      <c r="K17" s="28"/>
      <c r="L17" s="28"/>
      <c r="M17" s="28"/>
      <c r="N17" s="29"/>
      <c r="O17" s="30"/>
    </row>
    <row r="18" spans="1:15" x14ac:dyDescent="0.25">
      <c r="A18" s="4"/>
      <c r="B18" s="4"/>
      <c r="C18" s="4"/>
      <c r="D18" s="96"/>
      <c r="E18" s="95"/>
      <c r="F18" s="19"/>
      <c r="G18" s="2"/>
      <c r="H18" s="3"/>
      <c r="I18" s="116"/>
      <c r="J18" s="116"/>
      <c r="K18" s="28"/>
      <c r="L18" s="28"/>
      <c r="M18" s="28"/>
      <c r="N18" s="29"/>
      <c r="O18" s="30"/>
    </row>
    <row r="19" spans="1:15" s="46" customFormat="1" x14ac:dyDescent="0.2">
      <c r="A19" s="4"/>
      <c r="B19" s="4"/>
      <c r="C19" s="4"/>
      <c r="D19" s="96"/>
      <c r="E19" s="95"/>
      <c r="F19" s="4"/>
      <c r="G19" s="2"/>
      <c r="H19" s="3"/>
      <c r="I19" s="116"/>
      <c r="J19" s="116"/>
      <c r="K19" s="28"/>
      <c r="L19" s="28"/>
      <c r="M19" s="28"/>
      <c r="N19" s="29"/>
      <c r="O19" s="30"/>
    </row>
    <row r="20" spans="1:15" s="46" customFormat="1" x14ac:dyDescent="0.2">
      <c r="A20" s="16" t="s">
        <v>56</v>
      </c>
      <c r="B20" s="16"/>
      <c r="C20" s="16"/>
      <c r="D20" s="16"/>
      <c r="E20" s="38"/>
      <c r="F20" s="110"/>
      <c r="G20" s="117"/>
      <c r="H20" s="3"/>
      <c r="I20" s="116"/>
      <c r="J20" s="116"/>
      <c r="K20" s="28"/>
      <c r="L20" s="28"/>
      <c r="M20" s="28"/>
      <c r="N20" s="29"/>
      <c r="O20" s="30"/>
    </row>
    <row r="21" spans="1:15" s="46" customFormat="1" x14ac:dyDescent="0.2">
      <c r="A21" s="16" t="s">
        <v>57</v>
      </c>
      <c r="B21" s="16"/>
      <c r="C21" s="16"/>
      <c r="D21" s="16"/>
      <c r="E21" s="38"/>
      <c r="F21" s="19"/>
      <c r="G21" s="2"/>
      <c r="H21" s="3"/>
      <c r="I21" s="116"/>
      <c r="J21" s="116"/>
      <c r="K21" s="28"/>
      <c r="L21" s="28"/>
      <c r="M21" s="28"/>
      <c r="N21" s="29"/>
      <c r="O21" s="30"/>
    </row>
    <row r="22" spans="1:15" s="46" customFormat="1" ht="15" hidden="1" customHeight="1" x14ac:dyDescent="0.25">
      <c r="A22" s="6" t="s">
        <v>58</v>
      </c>
      <c r="B22" s="6" t="s">
        <v>59</v>
      </c>
      <c r="C22" s="16"/>
      <c r="D22" s="16"/>
      <c r="E22" s="38"/>
      <c r="F22" s="19"/>
      <c r="G22" s="83">
        <v>46141</v>
      </c>
      <c r="H22" s="1" t="s">
        <v>125</v>
      </c>
      <c r="I22" s="118" t="s">
        <v>122</v>
      </c>
      <c r="J22" s="118"/>
      <c r="K22" s="85">
        <v>0.30833333333333302</v>
      </c>
      <c r="L22" s="85">
        <v>0.33333333333333298</v>
      </c>
      <c r="M22" s="85">
        <v>0.41666666666666702</v>
      </c>
      <c r="N22" s="86" t="s">
        <v>44</v>
      </c>
      <c r="O22" s="87">
        <v>0</v>
      </c>
    </row>
    <row r="23" spans="1:15" s="46" customFormat="1" x14ac:dyDescent="0.2">
      <c r="A23" s="31" t="s">
        <v>60</v>
      </c>
      <c r="B23" s="6">
        <v>4</v>
      </c>
      <c r="C23" s="16"/>
      <c r="D23" s="16"/>
      <c r="E23" s="38"/>
      <c r="H23" s="17"/>
      <c r="I23" s="18"/>
      <c r="J23" s="43"/>
      <c r="K23" s="64"/>
      <c r="L23" s="65"/>
      <c r="M23" s="65"/>
    </row>
    <row r="24" spans="1:15" s="46" customFormat="1" x14ac:dyDescent="0.2">
      <c r="A24" s="31" t="s">
        <v>61</v>
      </c>
      <c r="B24" s="6">
        <v>3</v>
      </c>
      <c r="C24" s="16"/>
      <c r="D24" s="16"/>
      <c r="E24" s="38"/>
      <c r="H24" s="17"/>
      <c r="I24" s="18"/>
      <c r="K24" s="64"/>
      <c r="L24" s="65"/>
      <c r="M24" s="65"/>
    </row>
    <row r="25" spans="1:15" x14ac:dyDescent="0.25">
      <c r="A25" s="31" t="s">
        <v>62</v>
      </c>
      <c r="B25" s="6">
        <v>2</v>
      </c>
      <c r="C25" s="16"/>
      <c r="D25" s="16"/>
      <c r="E25" s="38"/>
      <c r="H25" s="17"/>
      <c r="I25" s="18"/>
      <c r="K25" s="64"/>
      <c r="L25" s="65"/>
      <c r="M25" s="65"/>
    </row>
    <row r="26" spans="1:15" x14ac:dyDescent="0.25">
      <c r="A26" s="31" t="s">
        <v>63</v>
      </c>
      <c r="B26" s="6">
        <v>1</v>
      </c>
      <c r="C26" s="16"/>
      <c r="D26" s="16"/>
      <c r="E26" s="38"/>
      <c r="H26" s="17"/>
      <c r="I26" s="18"/>
      <c r="K26" s="64"/>
      <c r="L26" s="65"/>
      <c r="M26" s="65"/>
    </row>
    <row r="27" spans="1:15" x14ac:dyDescent="0.25">
      <c r="A27" s="16" t="s">
        <v>64</v>
      </c>
      <c r="B27" s="16"/>
      <c r="C27" s="16"/>
      <c r="D27" s="16"/>
      <c r="E27" s="38"/>
      <c r="H27" s="17"/>
      <c r="I27" s="18"/>
      <c r="K27" s="64"/>
      <c r="L27" s="65"/>
      <c r="M27" s="65"/>
    </row>
    <row r="28" spans="1:15" x14ac:dyDescent="0.25">
      <c r="A28" s="6" t="s">
        <v>65</v>
      </c>
      <c r="B28" s="6" t="s">
        <v>55</v>
      </c>
      <c r="C28" s="16"/>
      <c r="D28" s="16"/>
      <c r="E28" s="38"/>
      <c r="H28" s="17"/>
      <c r="I28" s="18"/>
      <c r="K28" s="64"/>
      <c r="L28" s="65"/>
      <c r="M28" s="65"/>
    </row>
    <row r="29" spans="1:15" ht="23.25" hidden="1" customHeight="1" x14ac:dyDescent="0.25">
      <c r="A29" s="35" t="s">
        <v>66</v>
      </c>
      <c r="B29" s="36" t="s">
        <v>67</v>
      </c>
      <c r="C29" s="16"/>
      <c r="D29" s="16"/>
      <c r="E29" s="38"/>
      <c r="K29" s="64"/>
      <c r="L29" s="65"/>
      <c r="M29" s="65"/>
    </row>
    <row r="30" spans="1:15" x14ac:dyDescent="0.25">
      <c r="A30" s="31" t="s">
        <v>68</v>
      </c>
      <c r="B30" s="36" t="s">
        <v>69</v>
      </c>
      <c r="C30" s="16"/>
      <c r="D30" s="16"/>
      <c r="E30" s="38"/>
      <c r="K30" s="64"/>
      <c r="L30" s="65"/>
      <c r="M30" s="65"/>
    </row>
    <row r="31" spans="1:15" x14ac:dyDescent="0.25">
      <c r="A31" s="31" t="s">
        <v>70</v>
      </c>
      <c r="B31" s="36" t="s">
        <v>71</v>
      </c>
      <c r="C31" s="16"/>
      <c r="D31" s="16"/>
      <c r="E31" s="38"/>
      <c r="K31" s="64"/>
      <c r="L31" s="65"/>
      <c r="M31" s="65"/>
    </row>
    <row r="32" spans="1:15" x14ac:dyDescent="0.25">
      <c r="A32" s="16"/>
      <c r="B32" s="5"/>
      <c r="C32" s="16"/>
      <c r="D32" s="16"/>
      <c r="E32" s="38"/>
      <c r="K32" s="64"/>
      <c r="L32" s="65"/>
      <c r="M32" s="65"/>
    </row>
    <row r="33" spans="1:13" x14ac:dyDescent="0.25">
      <c r="A33" s="112" t="s">
        <v>72</v>
      </c>
      <c r="B33" s="112"/>
      <c r="C33" s="112"/>
      <c r="D33" s="112"/>
      <c r="E33" s="5" t="s">
        <v>73</v>
      </c>
      <c r="K33" s="64"/>
      <c r="L33" s="65"/>
      <c r="M33" s="65"/>
    </row>
    <row r="34" spans="1:13" x14ac:dyDescent="0.25">
      <c r="A34" s="112"/>
      <c r="B34" s="112"/>
      <c r="C34" s="112"/>
      <c r="D34" s="112"/>
      <c r="E34" s="112"/>
      <c r="K34" s="64"/>
      <c r="L34" s="65"/>
      <c r="M34" s="65"/>
    </row>
    <row r="35" spans="1:13" x14ac:dyDescent="0.25">
      <c r="A35" s="112"/>
      <c r="B35" s="112"/>
      <c r="C35" s="112"/>
      <c r="D35" s="112"/>
      <c r="E35" s="112"/>
      <c r="K35" s="64"/>
      <c r="L35" s="65"/>
      <c r="M35" s="65"/>
    </row>
    <row r="36" spans="1:13" x14ac:dyDescent="0.25">
      <c r="A36" s="112"/>
      <c r="B36" s="112"/>
      <c r="C36" s="112"/>
      <c r="D36" s="112"/>
      <c r="E36" s="112"/>
      <c r="K36" s="64"/>
      <c r="L36" s="65"/>
      <c r="M36" s="65"/>
    </row>
    <row r="37" spans="1:13" x14ac:dyDescent="0.25">
      <c r="A37" s="112"/>
      <c r="B37" s="112"/>
      <c r="C37" s="112"/>
      <c r="D37" s="112"/>
      <c r="E37" s="112"/>
      <c r="K37" s="64"/>
      <c r="L37" s="65"/>
      <c r="M37" s="65"/>
    </row>
    <row r="38" spans="1:13" x14ac:dyDescent="0.25">
      <c r="A38" s="112" t="s">
        <v>74</v>
      </c>
      <c r="B38" s="112"/>
      <c r="C38" s="112"/>
      <c r="D38" s="112"/>
      <c r="E38" s="5" t="s">
        <v>75</v>
      </c>
      <c r="K38" s="64"/>
      <c r="L38" s="65"/>
      <c r="M38" s="65"/>
    </row>
    <row r="39" spans="1:13" x14ac:dyDescent="0.25">
      <c r="A39" s="110" t="s">
        <v>76</v>
      </c>
      <c r="B39" s="110"/>
      <c r="C39" s="110"/>
      <c r="D39" s="110"/>
      <c r="E39" s="4" t="s">
        <v>77</v>
      </c>
      <c r="K39" s="64"/>
      <c r="L39" s="65"/>
      <c r="M39" s="65"/>
    </row>
    <row r="40" spans="1:13" x14ac:dyDescent="0.25">
      <c r="K40" s="64"/>
      <c r="L40" s="65"/>
      <c r="M40" s="65"/>
    </row>
    <row r="41" spans="1:13" x14ac:dyDescent="0.25">
      <c r="K41" s="64"/>
      <c r="L41" s="65"/>
      <c r="M41" s="65"/>
    </row>
    <row r="42" spans="1:13" x14ac:dyDescent="0.25">
      <c r="K42" s="64"/>
      <c r="L42" s="65"/>
      <c r="M42" s="65"/>
    </row>
    <row r="43" spans="1:13" x14ac:dyDescent="0.25">
      <c r="K43" s="64"/>
      <c r="L43" s="65"/>
      <c r="M43" s="65"/>
    </row>
  </sheetData>
  <mergeCells count="28">
    <mergeCell ref="A38:D38"/>
    <mergeCell ref="A39:D39"/>
    <mergeCell ref="I21:J21"/>
    <mergeCell ref="I22:J22"/>
    <mergeCell ref="A33:D33"/>
    <mergeCell ref="A34:D37"/>
    <mergeCell ref="E34:E37"/>
    <mergeCell ref="A17:C17"/>
    <mergeCell ref="I17:J17"/>
    <mergeCell ref="I18:J18"/>
    <mergeCell ref="I19:J19"/>
    <mergeCell ref="F20:G20"/>
    <mergeCell ref="I20:J20"/>
    <mergeCell ref="I12:J12"/>
    <mergeCell ref="I13:J13"/>
    <mergeCell ref="I14:J14"/>
    <mergeCell ref="I15:J15"/>
    <mergeCell ref="I16:J16"/>
    <mergeCell ref="B5:E5"/>
    <mergeCell ref="B6:E6"/>
    <mergeCell ref="I9:J9"/>
    <mergeCell ref="I10:J10"/>
    <mergeCell ref="I11:J11"/>
    <mergeCell ref="A1:A3"/>
    <mergeCell ref="B1:E3"/>
    <mergeCell ref="F1:G1"/>
    <mergeCell ref="I1:M1"/>
    <mergeCell ref="B4:E4"/>
  </mergeCells>
  <conditionalFormatting sqref="E17:E19">
    <cfRule type="containsText" dxfId="19" priority="2" operator="containsText" text="Poor">
      <formula>NOT(ISERROR(SEARCH("Poor",E17)))</formula>
    </cfRule>
    <cfRule type="containsText" dxfId="18" priority="3" operator="containsText" text="Average">
      <formula>NOT(ISERROR(SEARCH("Average",E17)))</formula>
    </cfRule>
    <cfRule type="containsText" dxfId="17" priority="4" operator="containsText" text="Good">
      <formula>NOT(ISERROR(SEARCH("Good",E17)))</formula>
    </cfRule>
    <cfRule type="containsText" dxfId="16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3"/>
  <sheetViews>
    <sheetView topLeftCell="A4" zoomScale="89" zoomScaleNormal="89" workbookViewId="0">
      <selection activeCell="A4" sqref="A4"/>
    </sheetView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49.140625" style="77" customWidth="1"/>
    <col min="6" max="7" width="10.7109375" style="46" customWidth="1"/>
    <col min="8" max="8" width="9.42578125" customWidth="1"/>
    <col min="9" max="9" width="11.140625" customWidth="1"/>
    <col min="10" max="10" width="8.85546875" style="46" customWidth="1"/>
    <col min="11" max="11" width="21.7109375" style="54" customWidth="1"/>
    <col min="12" max="12" width="11" customWidth="1"/>
    <col min="13" max="14" width="8.85546875" customWidth="1"/>
    <col min="16" max="17" width="8.85546875" customWidth="1"/>
  </cols>
  <sheetData>
    <row r="1" spans="1:13" ht="14.25" customHeight="1" x14ac:dyDescent="0.25">
      <c r="A1" s="110"/>
      <c r="B1" s="109" t="s">
        <v>30</v>
      </c>
      <c r="C1" s="109"/>
      <c r="D1" s="109"/>
      <c r="E1" s="109"/>
      <c r="F1" s="110"/>
      <c r="G1" s="110"/>
      <c r="I1" s="110"/>
      <c r="J1" s="110"/>
      <c r="K1" s="110"/>
      <c r="L1" s="110"/>
      <c r="M1" s="110"/>
    </row>
    <row r="2" spans="1:13" ht="14.25" customHeight="1" x14ac:dyDescent="0.25">
      <c r="A2" s="110"/>
      <c r="B2" s="109"/>
      <c r="C2" s="109"/>
      <c r="D2" s="109"/>
      <c r="E2" s="109"/>
      <c r="F2" s="19"/>
      <c r="G2" s="47"/>
      <c r="I2" s="19"/>
      <c r="J2" s="82"/>
      <c r="K2" s="8"/>
      <c r="L2" s="16"/>
      <c r="M2" s="47"/>
    </row>
    <row r="3" spans="1:13" x14ac:dyDescent="0.25">
      <c r="A3" s="110"/>
      <c r="B3" s="109"/>
      <c r="C3" s="109"/>
      <c r="D3" s="109"/>
      <c r="E3" s="109"/>
      <c r="F3" s="19"/>
      <c r="G3" s="47"/>
      <c r="I3" s="19"/>
      <c r="J3" s="82"/>
      <c r="K3" s="8"/>
      <c r="L3" s="16"/>
      <c r="M3" s="47"/>
    </row>
    <row r="4" spans="1:13" x14ac:dyDescent="0.25">
      <c r="A4" s="16" t="s">
        <v>31</v>
      </c>
      <c r="B4" s="110" t="s">
        <v>126</v>
      </c>
      <c r="C4" s="110"/>
      <c r="D4" s="110"/>
      <c r="E4" s="110"/>
      <c r="F4" s="19"/>
      <c r="G4" s="45"/>
      <c r="H4" s="8"/>
      <c r="I4" s="16"/>
      <c r="J4" s="47"/>
    </row>
    <row r="5" spans="1:13" x14ac:dyDescent="0.25">
      <c r="A5" s="16" t="s">
        <v>32</v>
      </c>
      <c r="B5" s="110" t="s">
        <v>24</v>
      </c>
      <c r="C5" s="110"/>
      <c r="D5" s="110"/>
      <c r="E5" s="110"/>
      <c r="F5" s="19"/>
      <c r="G5" s="45"/>
      <c r="H5" s="8"/>
      <c r="I5" s="16"/>
      <c r="J5" s="47"/>
    </row>
    <row r="6" spans="1:13" x14ac:dyDescent="0.25">
      <c r="A6" s="16" t="s">
        <v>33</v>
      </c>
      <c r="B6" s="108" t="s">
        <v>34</v>
      </c>
      <c r="C6" s="108"/>
      <c r="D6" s="108"/>
      <c r="E6" s="108"/>
      <c r="F6" s="19"/>
      <c r="G6" s="45"/>
      <c r="H6" s="8"/>
      <c r="I6" s="16"/>
      <c r="J6" s="47"/>
    </row>
    <row r="7" spans="1:13" x14ac:dyDescent="0.25">
      <c r="A7" s="16"/>
      <c r="B7" s="16"/>
      <c r="C7" s="16"/>
      <c r="D7" s="16"/>
      <c r="E7" s="38"/>
      <c r="F7" s="19"/>
      <c r="G7" s="45"/>
      <c r="H7" s="8"/>
      <c r="I7" s="16"/>
      <c r="J7" s="47"/>
    </row>
    <row r="8" spans="1:13" ht="22.5" x14ac:dyDescent="0.2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19"/>
      <c r="G8" s="40">
        <v>46105</v>
      </c>
      <c r="H8" s="41">
        <v>0.37013888888888902</v>
      </c>
      <c r="K8" s="70" t="s">
        <v>102</v>
      </c>
      <c r="L8" s="70" t="s">
        <v>103</v>
      </c>
      <c r="M8" s="70" t="s">
        <v>104</v>
      </c>
    </row>
    <row r="9" spans="1:13" x14ac:dyDescent="0.25">
      <c r="A9" s="23" t="s">
        <v>40</v>
      </c>
      <c r="B9" s="24">
        <v>20</v>
      </c>
      <c r="C9" s="24">
        <v>1</v>
      </c>
      <c r="D9" s="24">
        <f t="shared" ref="D9:D15" si="0">B9*C9</f>
        <v>20</v>
      </c>
      <c r="E9" s="25" t="s">
        <v>127</v>
      </c>
      <c r="F9" s="19"/>
      <c r="G9" s="40">
        <v>46112</v>
      </c>
      <c r="H9" s="41">
        <v>0.32361111111111102</v>
      </c>
      <c r="K9" s="71" t="s">
        <v>128</v>
      </c>
      <c r="L9" s="72">
        <v>60</v>
      </c>
      <c r="M9" s="72">
        <v>61.06</v>
      </c>
    </row>
    <row r="10" spans="1:13" x14ac:dyDescent="0.25">
      <c r="A10" s="23" t="s">
        <v>42</v>
      </c>
      <c r="B10" s="24">
        <v>20</v>
      </c>
      <c r="C10" s="24">
        <v>3</v>
      </c>
      <c r="D10" s="24">
        <f t="shared" si="0"/>
        <v>60</v>
      </c>
      <c r="E10" s="25" t="s">
        <v>129</v>
      </c>
      <c r="F10" s="19"/>
      <c r="G10" s="45"/>
      <c r="H10" s="62"/>
      <c r="I10" s="78"/>
      <c r="K10" s="74" t="s">
        <v>130</v>
      </c>
      <c r="L10" s="75">
        <v>12</v>
      </c>
      <c r="M10" s="75">
        <v>12.24</v>
      </c>
    </row>
    <row r="11" spans="1:13" x14ac:dyDescent="0.25">
      <c r="A11" s="23" t="s">
        <v>45</v>
      </c>
      <c r="B11" s="24">
        <v>20</v>
      </c>
      <c r="C11" s="24">
        <v>4</v>
      </c>
      <c r="D11" s="24">
        <f t="shared" si="0"/>
        <v>80</v>
      </c>
      <c r="E11" s="25" t="s">
        <v>124</v>
      </c>
      <c r="F11" s="19"/>
      <c r="G11" s="45"/>
      <c r="H11" s="17"/>
      <c r="I11" s="18"/>
      <c r="K11" s="71" t="s">
        <v>128</v>
      </c>
      <c r="L11" s="72">
        <v>256</v>
      </c>
      <c r="M11" s="72">
        <v>260.72000000000003</v>
      </c>
    </row>
    <row r="12" spans="1:13" x14ac:dyDescent="0.25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116</v>
      </c>
      <c r="F12" s="19"/>
      <c r="G12" s="45"/>
      <c r="H12" s="17"/>
      <c r="I12" s="18"/>
      <c r="K12" s="74" t="s">
        <v>131</v>
      </c>
      <c r="L12" s="75">
        <v>54</v>
      </c>
      <c r="M12" s="75">
        <v>55.43</v>
      </c>
    </row>
    <row r="13" spans="1:13" x14ac:dyDescent="0.25">
      <c r="A13" s="23" t="s">
        <v>49</v>
      </c>
      <c r="B13" s="24">
        <v>10</v>
      </c>
      <c r="C13" s="24">
        <v>3</v>
      </c>
      <c r="D13" s="24">
        <f t="shared" si="0"/>
        <v>30</v>
      </c>
      <c r="E13" s="25" t="s">
        <v>132</v>
      </c>
      <c r="F13" s="19"/>
      <c r="G13" s="45"/>
      <c r="H13" s="17"/>
      <c r="I13" s="18"/>
      <c r="K13" s="71" t="s">
        <v>128</v>
      </c>
      <c r="L13" s="72">
        <v>80</v>
      </c>
      <c r="M13" s="72">
        <v>81.459999999999994</v>
      </c>
    </row>
    <row r="14" spans="1:13" x14ac:dyDescent="0.25">
      <c r="A14" s="31" t="s">
        <v>51</v>
      </c>
      <c r="B14" s="6">
        <v>5</v>
      </c>
      <c r="C14" s="6">
        <v>3</v>
      </c>
      <c r="D14" s="24">
        <f t="shared" si="0"/>
        <v>15</v>
      </c>
      <c r="E14" s="31" t="s">
        <v>91</v>
      </c>
      <c r="F14" s="19"/>
      <c r="G14" s="45"/>
      <c r="H14" s="17"/>
      <c r="I14" s="18"/>
      <c r="K14" s="74" t="s">
        <v>128</v>
      </c>
      <c r="L14" s="75">
        <v>204</v>
      </c>
      <c r="M14" s="75">
        <v>206.56</v>
      </c>
    </row>
    <row r="15" spans="1:13" x14ac:dyDescent="0.25">
      <c r="A15" s="31" t="s">
        <v>53</v>
      </c>
      <c r="B15" s="6">
        <v>5</v>
      </c>
      <c r="C15" s="6">
        <v>4</v>
      </c>
      <c r="D15" s="6">
        <f t="shared" si="0"/>
        <v>20</v>
      </c>
      <c r="E15" s="35" t="s">
        <v>133</v>
      </c>
      <c r="F15" s="19"/>
      <c r="G15" s="45"/>
      <c r="H15" s="17"/>
      <c r="I15" s="18"/>
      <c r="K15" s="71" t="s">
        <v>130</v>
      </c>
      <c r="L15" s="72">
        <v>12</v>
      </c>
      <c r="M15" s="72">
        <v>12.27</v>
      </c>
    </row>
    <row r="16" spans="1:13" ht="15" hidden="1" customHeight="1" x14ac:dyDescent="0.25">
      <c r="A16" s="6"/>
      <c r="B16" s="4">
        <f>SUM(B9:B15)</f>
        <v>100</v>
      </c>
      <c r="C16" s="16"/>
      <c r="D16" s="4">
        <f>SUM(D9:D15)</f>
        <v>305</v>
      </c>
      <c r="E16" s="38"/>
      <c r="F16" s="19"/>
      <c r="G16" s="47"/>
      <c r="H16" s="17"/>
      <c r="I16" s="18"/>
      <c r="K16" s="74" t="s">
        <v>131</v>
      </c>
      <c r="L16" s="75">
        <v>76</v>
      </c>
      <c r="M16" s="75">
        <v>77.59</v>
      </c>
    </row>
    <row r="17" spans="1:13" x14ac:dyDescent="0.25">
      <c r="A17" s="111" t="s">
        <v>55</v>
      </c>
      <c r="B17" s="111"/>
      <c r="C17" s="111"/>
      <c r="D17" s="33">
        <f>D16/B16</f>
        <v>3.05</v>
      </c>
      <c r="E17" s="39" t="str">
        <f>IF(D17&gt;=3.7,"Excellent",IF(D17&gt;=3,"Good",IF(D17&lt;3,"Poor")))</f>
        <v>Good</v>
      </c>
      <c r="F17" s="19"/>
      <c r="G17" s="45"/>
      <c r="H17" s="17"/>
      <c r="I17" s="18"/>
      <c r="K17" s="71" t="s">
        <v>128</v>
      </c>
      <c r="L17" s="72">
        <v>244</v>
      </c>
      <c r="M17" s="72">
        <v>249.06</v>
      </c>
    </row>
    <row r="18" spans="1:13" x14ac:dyDescent="0.25">
      <c r="A18" s="4"/>
      <c r="B18" s="4"/>
      <c r="C18" s="4"/>
      <c r="D18" s="96"/>
      <c r="E18" s="95"/>
      <c r="F18" s="19"/>
      <c r="G18" s="45"/>
      <c r="H18" s="17"/>
      <c r="I18" s="18"/>
      <c r="K18" s="74" t="s">
        <v>128</v>
      </c>
      <c r="L18" s="75">
        <v>16</v>
      </c>
      <c r="M18" s="75">
        <v>16.21</v>
      </c>
    </row>
    <row r="19" spans="1:13" s="46" customFormat="1" x14ac:dyDescent="0.2">
      <c r="A19" s="4"/>
      <c r="B19" s="4"/>
      <c r="C19" s="4"/>
      <c r="D19" s="96"/>
      <c r="E19" s="95"/>
      <c r="F19" s="4"/>
      <c r="G19" s="4"/>
      <c r="H19" s="17"/>
      <c r="I19" s="18"/>
      <c r="K19" s="71" t="s">
        <v>130</v>
      </c>
      <c r="L19" s="72">
        <v>12</v>
      </c>
      <c r="M19" s="72">
        <v>9.93</v>
      </c>
    </row>
    <row r="20" spans="1:13" s="46" customFormat="1" x14ac:dyDescent="0.2">
      <c r="A20" s="16" t="s">
        <v>56</v>
      </c>
      <c r="B20" s="16"/>
      <c r="C20" s="16"/>
      <c r="D20" s="16"/>
      <c r="E20" s="38"/>
      <c r="F20" s="110"/>
      <c r="G20" s="110"/>
      <c r="H20" s="17"/>
      <c r="I20" s="18"/>
      <c r="K20" s="74" t="s">
        <v>131</v>
      </c>
      <c r="L20" s="75">
        <v>60</v>
      </c>
      <c r="M20" s="75">
        <v>61.45</v>
      </c>
    </row>
    <row r="21" spans="1:13" s="46" customFormat="1" x14ac:dyDescent="0.2">
      <c r="A21" s="16" t="s">
        <v>57</v>
      </c>
      <c r="B21" s="16"/>
      <c r="C21" s="16"/>
      <c r="D21" s="16"/>
      <c r="E21" s="38"/>
      <c r="F21" s="19"/>
      <c r="G21" s="47"/>
      <c r="H21" s="17"/>
      <c r="I21" s="18"/>
      <c r="K21" s="71" t="s">
        <v>128</v>
      </c>
      <c r="L21" s="72">
        <v>264</v>
      </c>
      <c r="M21" s="72">
        <v>268.85000000000002</v>
      </c>
    </row>
    <row r="22" spans="1:13" s="46" customFormat="1" ht="15" hidden="1" customHeight="1" x14ac:dyDescent="0.2">
      <c r="A22" s="6" t="s">
        <v>58</v>
      </c>
      <c r="B22" s="6" t="s">
        <v>59</v>
      </c>
      <c r="C22" s="16"/>
      <c r="D22" s="16"/>
      <c r="E22" s="38"/>
      <c r="F22" s="19"/>
      <c r="G22" s="47"/>
      <c r="H22" s="97">
        <v>46072</v>
      </c>
      <c r="I22" s="98">
        <v>0.29513888888888901</v>
      </c>
      <c r="K22" s="74" t="s">
        <v>130</v>
      </c>
      <c r="L22" s="75">
        <v>20</v>
      </c>
      <c r="M22" s="75">
        <v>20.350000000000001</v>
      </c>
    </row>
    <row r="23" spans="1:13" s="46" customFormat="1" x14ac:dyDescent="0.2">
      <c r="A23" s="31" t="s">
        <v>60</v>
      </c>
      <c r="B23" s="6">
        <v>4</v>
      </c>
      <c r="C23" s="16"/>
      <c r="D23" s="16"/>
      <c r="E23" s="38"/>
      <c r="H23" s="62"/>
      <c r="I23" s="78"/>
      <c r="J23" s="43"/>
      <c r="K23" s="71" t="s">
        <v>128</v>
      </c>
      <c r="L23" s="72">
        <v>26</v>
      </c>
      <c r="M23" s="72">
        <v>26.64</v>
      </c>
    </row>
    <row r="24" spans="1:13" s="46" customFormat="1" x14ac:dyDescent="0.2">
      <c r="A24" s="31" t="s">
        <v>61</v>
      </c>
      <c r="B24" s="6">
        <v>3</v>
      </c>
      <c r="C24" s="16"/>
      <c r="D24" s="16"/>
      <c r="E24" s="38"/>
      <c r="H24" s="17"/>
      <c r="I24" s="18"/>
      <c r="K24" s="74" t="s">
        <v>134</v>
      </c>
      <c r="L24" s="75">
        <v>36</v>
      </c>
      <c r="M24" s="75">
        <v>36.93</v>
      </c>
    </row>
    <row r="25" spans="1:13" x14ac:dyDescent="0.25">
      <c r="A25" s="31" t="s">
        <v>62</v>
      </c>
      <c r="B25" s="6">
        <v>2</v>
      </c>
      <c r="C25" s="16"/>
      <c r="D25" s="16"/>
      <c r="E25" s="38"/>
      <c r="H25" s="17"/>
      <c r="I25" s="18"/>
      <c r="K25" s="71" t="s">
        <v>135</v>
      </c>
      <c r="L25" s="72">
        <v>12</v>
      </c>
      <c r="M25" s="72">
        <v>12</v>
      </c>
    </row>
    <row r="26" spans="1:13" x14ac:dyDescent="0.25">
      <c r="A26" s="31" t="s">
        <v>63</v>
      </c>
      <c r="B26" s="6">
        <v>1</v>
      </c>
      <c r="C26" s="16"/>
      <c r="D26" s="16"/>
      <c r="E26" s="38"/>
      <c r="H26" s="17"/>
      <c r="I26" s="18"/>
      <c r="K26" s="74" t="s">
        <v>128</v>
      </c>
      <c r="L26" s="75">
        <v>94</v>
      </c>
      <c r="M26" s="75">
        <v>94.82</v>
      </c>
    </row>
    <row r="27" spans="1:13" x14ac:dyDescent="0.25">
      <c r="A27" s="16" t="s">
        <v>64</v>
      </c>
      <c r="B27" s="16"/>
      <c r="C27" s="16"/>
      <c r="D27" s="16"/>
      <c r="E27" s="38"/>
      <c r="H27" s="17"/>
      <c r="I27" s="18"/>
      <c r="K27" s="71" t="s">
        <v>128</v>
      </c>
      <c r="L27" s="72">
        <v>262</v>
      </c>
      <c r="M27" s="72">
        <v>267.14</v>
      </c>
    </row>
    <row r="28" spans="1:13" x14ac:dyDescent="0.25">
      <c r="A28" s="6" t="s">
        <v>65</v>
      </c>
      <c r="B28" s="6" t="s">
        <v>55</v>
      </c>
      <c r="C28" s="16"/>
      <c r="D28" s="16"/>
      <c r="E28" s="38"/>
      <c r="H28" s="17"/>
      <c r="I28" s="18"/>
      <c r="K28" s="74" t="s">
        <v>131</v>
      </c>
      <c r="L28" s="75">
        <v>60</v>
      </c>
      <c r="M28" s="75">
        <v>61.21</v>
      </c>
    </row>
    <row r="29" spans="1:13" ht="23.25" hidden="1" customHeight="1" x14ac:dyDescent="0.25">
      <c r="A29" s="35" t="s">
        <v>66</v>
      </c>
      <c r="B29" s="36" t="s">
        <v>67</v>
      </c>
      <c r="C29" s="16"/>
      <c r="D29" s="16"/>
      <c r="E29" s="38"/>
      <c r="K29" s="71" t="s">
        <v>128</v>
      </c>
      <c r="L29" s="72">
        <v>28</v>
      </c>
      <c r="M29" s="72">
        <v>28.68</v>
      </c>
    </row>
    <row r="30" spans="1:13" x14ac:dyDescent="0.25">
      <c r="A30" s="31" t="s">
        <v>68</v>
      </c>
      <c r="B30" s="36" t="s">
        <v>69</v>
      </c>
      <c r="C30" s="16"/>
      <c r="D30" s="16"/>
      <c r="E30" s="38"/>
      <c r="K30" s="74" t="s">
        <v>130</v>
      </c>
      <c r="L30" s="75">
        <v>12</v>
      </c>
      <c r="M30" s="75">
        <v>12.29</v>
      </c>
    </row>
    <row r="31" spans="1:13" x14ac:dyDescent="0.25">
      <c r="A31" s="31" t="s">
        <v>70</v>
      </c>
      <c r="B31" s="36" t="s">
        <v>71</v>
      </c>
      <c r="C31" s="16"/>
      <c r="D31" s="16"/>
      <c r="E31" s="38"/>
      <c r="K31" s="71" t="s">
        <v>134</v>
      </c>
      <c r="L31" s="72">
        <v>22</v>
      </c>
      <c r="M31" s="72">
        <v>22.61</v>
      </c>
    </row>
    <row r="32" spans="1:13" x14ac:dyDescent="0.25">
      <c r="A32" s="16"/>
      <c r="B32" s="5"/>
      <c r="C32" s="16"/>
      <c r="D32" s="16"/>
      <c r="E32" s="38"/>
      <c r="K32" s="74" t="s">
        <v>128</v>
      </c>
      <c r="L32" s="75">
        <v>344</v>
      </c>
      <c r="M32" s="75">
        <v>349.54</v>
      </c>
    </row>
    <row r="33" spans="1:13" x14ac:dyDescent="0.25">
      <c r="A33" s="112" t="s">
        <v>72</v>
      </c>
      <c r="B33" s="112"/>
      <c r="C33" s="112"/>
      <c r="D33" s="112"/>
      <c r="E33" s="5" t="s">
        <v>73</v>
      </c>
      <c r="K33" s="71" t="s">
        <v>128</v>
      </c>
      <c r="L33" s="72">
        <v>186</v>
      </c>
      <c r="M33" s="72">
        <v>190.17</v>
      </c>
    </row>
    <row r="34" spans="1:13" x14ac:dyDescent="0.25">
      <c r="A34" s="112"/>
      <c r="B34" s="112"/>
      <c r="C34" s="112"/>
      <c r="D34" s="112"/>
      <c r="E34" s="112"/>
      <c r="K34" s="74" t="s">
        <v>130</v>
      </c>
      <c r="L34" s="75">
        <v>12</v>
      </c>
      <c r="M34" s="75">
        <v>12.28</v>
      </c>
    </row>
    <row r="35" spans="1:13" x14ac:dyDescent="0.25">
      <c r="A35" s="112"/>
      <c r="B35" s="112"/>
      <c r="C35" s="112"/>
      <c r="D35" s="112"/>
      <c r="E35" s="112"/>
      <c r="K35" s="71" t="s">
        <v>128</v>
      </c>
      <c r="L35" s="72">
        <v>50</v>
      </c>
      <c r="M35" s="72">
        <v>51.02</v>
      </c>
    </row>
    <row r="36" spans="1:13" x14ac:dyDescent="0.25">
      <c r="A36" s="112"/>
      <c r="B36" s="112"/>
      <c r="C36" s="112"/>
      <c r="D36" s="112"/>
      <c r="E36" s="112"/>
      <c r="K36" s="74" t="s">
        <v>128</v>
      </c>
      <c r="L36" s="75">
        <v>326</v>
      </c>
      <c r="M36" s="75">
        <v>332.85</v>
      </c>
    </row>
    <row r="37" spans="1:13" x14ac:dyDescent="0.25">
      <c r="A37" s="112"/>
      <c r="B37" s="112"/>
      <c r="C37" s="112"/>
      <c r="D37" s="112"/>
      <c r="E37" s="112"/>
      <c r="K37" s="71" t="s">
        <v>131</v>
      </c>
      <c r="L37" s="72">
        <v>75</v>
      </c>
      <c r="M37" s="72">
        <v>75</v>
      </c>
    </row>
    <row r="38" spans="1:13" x14ac:dyDescent="0.25">
      <c r="A38" s="112" t="s">
        <v>74</v>
      </c>
      <c r="B38" s="112"/>
      <c r="C38" s="112"/>
      <c r="D38" s="112"/>
      <c r="E38" s="5" t="s">
        <v>75</v>
      </c>
      <c r="K38" s="74" t="s">
        <v>130</v>
      </c>
      <c r="L38" s="75">
        <v>12</v>
      </c>
      <c r="M38" s="75">
        <v>12.21</v>
      </c>
    </row>
    <row r="39" spans="1:13" x14ac:dyDescent="0.25">
      <c r="A39" s="110" t="s">
        <v>76</v>
      </c>
      <c r="B39" s="110"/>
      <c r="C39" s="110"/>
      <c r="D39" s="110"/>
      <c r="E39" s="4" t="s">
        <v>77</v>
      </c>
      <c r="K39" s="71" t="s">
        <v>131</v>
      </c>
      <c r="L39" s="72">
        <v>2</v>
      </c>
      <c r="M39" s="72">
        <v>2.0099999999999998</v>
      </c>
    </row>
    <row r="40" spans="1:13" x14ac:dyDescent="0.25">
      <c r="K40" s="74" t="s">
        <v>128</v>
      </c>
      <c r="L40" s="75">
        <v>140</v>
      </c>
      <c r="M40" s="75">
        <v>142.91</v>
      </c>
    </row>
    <row r="41" spans="1:13" x14ac:dyDescent="0.25">
      <c r="K41" s="71" t="s">
        <v>128</v>
      </c>
      <c r="L41" s="72">
        <v>52</v>
      </c>
      <c r="M41" s="72">
        <v>53.14</v>
      </c>
    </row>
    <row r="42" spans="1:13" x14ac:dyDescent="0.25">
      <c r="K42" s="74" t="s">
        <v>130</v>
      </c>
      <c r="L42" s="75">
        <v>12</v>
      </c>
      <c r="M42" s="75">
        <v>0</v>
      </c>
    </row>
    <row r="43" spans="1:13" x14ac:dyDescent="0.25">
      <c r="K43" s="71" t="s">
        <v>131</v>
      </c>
      <c r="L43" s="72">
        <v>56</v>
      </c>
      <c r="M43" s="72">
        <v>57.41</v>
      </c>
    </row>
  </sheetData>
  <mergeCells count="14">
    <mergeCell ref="A34:D37"/>
    <mergeCell ref="E34:E37"/>
    <mergeCell ref="A38:D38"/>
    <mergeCell ref="A39:D39"/>
    <mergeCell ref="B5:E5"/>
    <mergeCell ref="B6:E6"/>
    <mergeCell ref="A17:C17"/>
    <mergeCell ref="I1:M1"/>
    <mergeCell ref="B4:E4"/>
    <mergeCell ref="F20:G20"/>
    <mergeCell ref="A33:D33"/>
    <mergeCell ref="A1:A3"/>
    <mergeCell ref="B1:E3"/>
    <mergeCell ref="F1:G1"/>
  </mergeCells>
  <conditionalFormatting sqref="E17:E19">
    <cfRule type="containsText" dxfId="15" priority="2" operator="containsText" text="Poor">
      <formula>NOT(ISERROR(SEARCH("Poor",E17)))</formula>
    </cfRule>
    <cfRule type="containsText" dxfId="14" priority="3" operator="containsText" text="Average">
      <formula>NOT(ISERROR(SEARCH("Average",E17)))</formula>
    </cfRule>
    <cfRule type="containsText" dxfId="13" priority="4" operator="containsText" text="Good">
      <formula>NOT(ISERROR(SEARCH("Good",E17)))</formula>
    </cfRule>
    <cfRule type="containsText" dxfId="12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59"/>
  <sheetViews>
    <sheetView zoomScale="89" zoomScaleNormal="89" workbookViewId="0">
      <selection activeCell="B6" sqref="B6:E6"/>
    </sheetView>
  </sheetViews>
  <sheetFormatPr defaultColWidth="8.7109375" defaultRowHeight="15" x14ac:dyDescent="0.25"/>
  <cols>
    <col min="1" max="1" width="28.7109375" customWidth="1"/>
    <col min="2" max="2" width="9.42578125" customWidth="1"/>
    <col min="3" max="3" width="5.5703125" customWidth="1"/>
    <col min="4" max="4" width="12.85546875" customWidth="1"/>
    <col min="5" max="5" width="49.140625" style="77" customWidth="1"/>
    <col min="6" max="6" width="10.7109375" style="46" customWidth="1"/>
    <col min="7" max="7" width="9.5703125" customWidth="1"/>
    <col min="8" max="8" width="11" customWidth="1"/>
    <col min="9" max="9" width="17.5703125" style="46" customWidth="1"/>
    <col min="10" max="10" width="28.7109375" customWidth="1"/>
    <col min="11" max="11" width="10.140625" customWidth="1"/>
    <col min="12" max="12" width="10.140625" style="46" customWidth="1"/>
    <col min="13" max="13" width="10.140625" style="54" customWidth="1"/>
    <col min="14" max="15" width="8.85546875" customWidth="1"/>
  </cols>
  <sheetData>
    <row r="1" spans="1:16" ht="14.25" customHeight="1" x14ac:dyDescent="0.25">
      <c r="A1" s="110"/>
      <c r="B1" s="109" t="s">
        <v>30</v>
      </c>
      <c r="C1" s="109"/>
      <c r="D1" s="109"/>
      <c r="E1" s="109"/>
      <c r="F1" s="16"/>
      <c r="G1" s="16"/>
      <c r="H1" s="16"/>
      <c r="I1" s="16"/>
      <c r="K1" s="110"/>
      <c r="L1" s="110"/>
      <c r="M1" s="110"/>
      <c r="N1" s="110"/>
      <c r="O1" s="110"/>
    </row>
    <row r="2" spans="1:16" ht="14.25" customHeight="1" x14ac:dyDescent="0.25">
      <c r="A2" s="110"/>
      <c r="B2" s="109"/>
      <c r="C2" s="109"/>
      <c r="D2" s="109"/>
      <c r="E2" s="109"/>
      <c r="F2" s="19"/>
      <c r="G2" s="81"/>
      <c r="H2" s="16"/>
      <c r="I2" s="47"/>
      <c r="J2" s="47"/>
      <c r="K2" s="16"/>
      <c r="L2" s="81"/>
      <c r="M2" s="8"/>
      <c r="N2" s="16"/>
      <c r="O2" s="47"/>
      <c r="P2" s="47"/>
    </row>
    <row r="3" spans="1:16" x14ac:dyDescent="0.25">
      <c r="A3" s="110"/>
      <c r="B3" s="109"/>
      <c r="C3" s="109"/>
      <c r="D3" s="109"/>
      <c r="E3" s="109"/>
      <c r="F3" s="19"/>
      <c r="G3" s="81"/>
      <c r="H3" s="16"/>
      <c r="I3" s="47"/>
      <c r="K3" s="19"/>
      <c r="L3" s="82"/>
      <c r="M3" s="8"/>
      <c r="N3" s="16"/>
      <c r="O3" s="47"/>
    </row>
    <row r="4" spans="1:16" x14ac:dyDescent="0.25">
      <c r="A4" s="16" t="s">
        <v>31</v>
      </c>
      <c r="B4" s="110" t="s">
        <v>136</v>
      </c>
      <c r="C4" s="110"/>
      <c r="D4" s="110"/>
      <c r="E4" s="110"/>
      <c r="F4" s="19"/>
      <c r="G4" s="81"/>
      <c r="H4" s="16"/>
      <c r="I4" s="45"/>
      <c r="K4" s="19"/>
      <c r="L4" s="81"/>
      <c r="M4" s="8"/>
      <c r="N4" s="16"/>
      <c r="O4" s="47"/>
    </row>
    <row r="5" spans="1:16" x14ac:dyDescent="0.25">
      <c r="A5" s="16" t="s">
        <v>32</v>
      </c>
      <c r="B5" s="110" t="s">
        <v>26</v>
      </c>
      <c r="C5" s="110"/>
      <c r="D5" s="110"/>
      <c r="E5" s="110"/>
      <c r="F5" s="19"/>
      <c r="G5" s="81"/>
      <c r="H5" s="16"/>
      <c r="I5" s="45"/>
      <c r="J5" s="45"/>
      <c r="K5" s="19"/>
      <c r="L5" s="81"/>
      <c r="M5" s="8"/>
      <c r="N5" s="16"/>
      <c r="O5" s="47"/>
      <c r="P5" s="47"/>
    </row>
    <row r="6" spans="1:16" x14ac:dyDescent="0.25">
      <c r="A6" s="16" t="s">
        <v>33</v>
      </c>
      <c r="B6" s="108" t="s">
        <v>148</v>
      </c>
      <c r="C6" s="108"/>
      <c r="D6" s="108"/>
      <c r="E6" s="108"/>
      <c r="F6" s="19"/>
      <c r="G6" s="81"/>
      <c r="H6" s="16"/>
      <c r="I6" s="45"/>
      <c r="K6" s="19"/>
      <c r="L6" s="81"/>
      <c r="M6" s="8"/>
      <c r="N6" s="16"/>
      <c r="O6" s="47"/>
    </row>
    <row r="7" spans="1:16" x14ac:dyDescent="0.25">
      <c r="A7" s="16"/>
      <c r="B7" s="16"/>
      <c r="C7" s="16"/>
      <c r="D7" s="16"/>
      <c r="E7" s="38"/>
      <c r="F7" s="19"/>
      <c r="G7" s="81"/>
      <c r="H7" s="16"/>
      <c r="I7" s="45"/>
      <c r="J7" s="45"/>
      <c r="K7" s="19"/>
      <c r="L7" s="81"/>
      <c r="M7" s="4"/>
      <c r="N7" s="16"/>
      <c r="O7" s="47"/>
    </row>
    <row r="8" spans="1:16" ht="22.5" x14ac:dyDescent="0.25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19"/>
      <c r="G8" s="22"/>
      <c r="H8" s="22"/>
      <c r="I8" s="22"/>
      <c r="J8" s="22"/>
      <c r="K8" s="22"/>
      <c r="L8" s="22"/>
      <c r="M8" s="22"/>
      <c r="N8" s="22"/>
      <c r="O8" s="22"/>
      <c r="P8" s="47"/>
    </row>
    <row r="9" spans="1:16" x14ac:dyDescent="0.25">
      <c r="A9" s="23" t="s">
        <v>40</v>
      </c>
      <c r="B9" s="24">
        <v>20</v>
      </c>
      <c r="C9" s="24">
        <v>3</v>
      </c>
      <c r="D9" s="24">
        <f t="shared" ref="D9:D15" si="0">B9*C9</f>
        <v>60</v>
      </c>
      <c r="E9" s="25" t="s">
        <v>137</v>
      </c>
      <c r="F9" s="19"/>
      <c r="G9" s="2"/>
      <c r="H9" s="3"/>
      <c r="I9" s="3"/>
      <c r="J9" s="99"/>
      <c r="K9" s="28"/>
      <c r="L9" s="28"/>
      <c r="M9" s="28"/>
      <c r="N9" s="29"/>
      <c r="O9" s="30"/>
    </row>
    <row r="10" spans="1:16" x14ac:dyDescent="0.25">
      <c r="A10" s="23" t="s">
        <v>42</v>
      </c>
      <c r="B10" s="24">
        <v>20</v>
      </c>
      <c r="C10" s="24">
        <v>3</v>
      </c>
      <c r="D10" s="24">
        <f t="shared" si="0"/>
        <v>60</v>
      </c>
      <c r="E10" s="25" t="s">
        <v>138</v>
      </c>
      <c r="F10" s="19"/>
      <c r="G10" s="2"/>
      <c r="H10" s="3"/>
      <c r="I10" s="3"/>
      <c r="J10" s="99"/>
      <c r="K10" s="28"/>
      <c r="L10" s="28"/>
      <c r="M10" s="28"/>
      <c r="N10" s="29"/>
      <c r="O10" s="30"/>
      <c r="P10" s="46"/>
    </row>
    <row r="11" spans="1:16" x14ac:dyDescent="0.25">
      <c r="A11" s="23" t="s">
        <v>45</v>
      </c>
      <c r="B11" s="24">
        <v>20</v>
      </c>
      <c r="C11" s="24">
        <v>4</v>
      </c>
      <c r="D11" s="24">
        <f t="shared" si="0"/>
        <v>80</v>
      </c>
      <c r="E11" s="25" t="s">
        <v>139</v>
      </c>
      <c r="F11" s="19"/>
      <c r="G11" s="2"/>
      <c r="H11" s="3"/>
      <c r="I11" s="3"/>
      <c r="J11" s="99"/>
      <c r="K11" s="28"/>
      <c r="L11" s="28"/>
      <c r="M11" s="28"/>
      <c r="N11" s="29"/>
      <c r="O11" s="30"/>
      <c r="P11" s="46"/>
    </row>
    <row r="12" spans="1:16" s="46" customFormat="1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121</v>
      </c>
      <c r="F12" s="19"/>
      <c r="G12" s="2"/>
      <c r="H12" s="3"/>
      <c r="I12" s="3"/>
      <c r="J12" s="99"/>
      <c r="K12" s="28"/>
      <c r="L12" s="28"/>
      <c r="M12" s="28"/>
      <c r="N12" s="29"/>
      <c r="O12" s="30"/>
    </row>
    <row r="13" spans="1:16" x14ac:dyDescent="0.25">
      <c r="A13" s="23" t="s">
        <v>49</v>
      </c>
      <c r="B13" s="24">
        <v>10</v>
      </c>
      <c r="C13" s="24">
        <v>4</v>
      </c>
      <c r="D13" s="24">
        <f t="shared" si="0"/>
        <v>40</v>
      </c>
      <c r="E13" s="25" t="s">
        <v>110</v>
      </c>
      <c r="F13" s="19"/>
      <c r="G13" s="2"/>
      <c r="H13" s="3"/>
      <c r="I13" s="3"/>
      <c r="J13" s="99"/>
      <c r="K13" s="28"/>
      <c r="L13" s="28"/>
      <c r="M13" s="28"/>
      <c r="N13" s="29"/>
      <c r="O13" s="30"/>
      <c r="P13" s="46"/>
    </row>
    <row r="14" spans="1:16" x14ac:dyDescent="0.25">
      <c r="A14" s="23" t="s">
        <v>51</v>
      </c>
      <c r="B14" s="24">
        <v>5</v>
      </c>
      <c r="C14" s="24">
        <v>3</v>
      </c>
      <c r="D14" s="24">
        <f t="shared" si="0"/>
        <v>15</v>
      </c>
      <c r="E14" s="23" t="s">
        <v>91</v>
      </c>
      <c r="F14" s="19"/>
      <c r="G14" s="2"/>
      <c r="H14" s="3"/>
      <c r="I14" s="3"/>
      <c r="J14" s="99"/>
      <c r="K14" s="28"/>
      <c r="L14" s="28"/>
      <c r="M14" s="28"/>
      <c r="N14" s="29"/>
      <c r="O14" s="30"/>
      <c r="P14" s="46"/>
    </row>
    <row r="15" spans="1:16" x14ac:dyDescent="0.25">
      <c r="A15" s="31" t="s">
        <v>53</v>
      </c>
      <c r="B15" s="6">
        <v>5</v>
      </c>
      <c r="C15" s="6">
        <v>2</v>
      </c>
      <c r="D15" s="6">
        <f t="shared" si="0"/>
        <v>10</v>
      </c>
      <c r="E15" s="35" t="s">
        <v>140</v>
      </c>
      <c r="F15" s="16"/>
      <c r="G15" s="2"/>
      <c r="H15" s="3"/>
      <c r="I15" s="3"/>
      <c r="J15" s="99"/>
      <c r="K15" s="28"/>
      <c r="L15" s="28"/>
      <c r="M15" s="28"/>
      <c r="N15" s="29"/>
      <c r="O15" s="30"/>
      <c r="P15" s="46"/>
    </row>
    <row r="16" spans="1:16" hidden="1" x14ac:dyDescent="0.25">
      <c r="A16" s="6"/>
      <c r="B16" s="4">
        <f>SUM(B9:B15)</f>
        <v>100</v>
      </c>
      <c r="C16" s="16"/>
      <c r="D16" s="4">
        <f>SUM(D9:D15)</f>
        <v>345</v>
      </c>
      <c r="E16" s="38"/>
      <c r="F16" s="19"/>
      <c r="G16" s="82"/>
      <c r="H16" s="100"/>
      <c r="I16" s="100"/>
      <c r="J16" s="101"/>
      <c r="P16" s="46"/>
    </row>
    <row r="17" spans="1:16" x14ac:dyDescent="0.25">
      <c r="A17" s="111" t="s">
        <v>55</v>
      </c>
      <c r="B17" s="111"/>
      <c r="C17" s="111"/>
      <c r="D17" s="33">
        <f>D16/B16</f>
        <v>3.45</v>
      </c>
      <c r="E17" s="39" t="str">
        <f>IF(D17&gt;=3.7,"Excellent",IF(D17&gt;=3,"Good",IF(D17&lt;3,"Poor")))</f>
        <v>Good</v>
      </c>
      <c r="F17" s="102"/>
      <c r="G17" s="102"/>
      <c r="H17" s="100"/>
      <c r="I17" s="100"/>
      <c r="J17" s="101"/>
    </row>
    <row r="18" spans="1:16" x14ac:dyDescent="0.25">
      <c r="A18" s="4"/>
      <c r="B18" s="4"/>
      <c r="C18" s="4"/>
      <c r="D18" s="96"/>
      <c r="E18" s="95"/>
      <c r="F18" s="19"/>
      <c r="G18" s="82"/>
      <c r="H18" s="100"/>
      <c r="I18" s="100"/>
      <c r="J18" s="101"/>
    </row>
    <row r="19" spans="1:16" s="46" customFormat="1" x14ac:dyDescent="0.25">
      <c r="A19" s="4"/>
      <c r="B19" s="4"/>
      <c r="C19" s="4"/>
      <c r="D19" s="96"/>
      <c r="E19" s="95"/>
      <c r="F19" s="19"/>
      <c r="G19" s="82"/>
      <c r="H19" s="100"/>
      <c r="I19" s="100"/>
      <c r="J19" s="101"/>
      <c r="K19"/>
      <c r="M19" s="54"/>
      <c r="N19"/>
      <c r="O19"/>
      <c r="P19"/>
    </row>
    <row r="20" spans="1:16" s="46" customFormat="1" x14ac:dyDescent="0.25">
      <c r="A20" s="16" t="s">
        <v>56</v>
      </c>
      <c r="B20" s="16"/>
      <c r="C20" s="16"/>
      <c r="D20" s="16"/>
      <c r="E20" s="38"/>
      <c r="F20" s="19"/>
      <c r="G20" s="82"/>
      <c r="H20" s="100"/>
      <c r="I20" s="100"/>
      <c r="J20" s="101"/>
      <c r="K20"/>
      <c r="M20" s="54"/>
      <c r="N20"/>
      <c r="O20"/>
      <c r="P20"/>
    </row>
    <row r="21" spans="1:16" s="46" customFormat="1" x14ac:dyDescent="0.25">
      <c r="A21" s="16" t="s">
        <v>57</v>
      </c>
      <c r="B21" s="16"/>
      <c r="C21" s="16"/>
      <c r="D21" s="16"/>
      <c r="E21" s="38"/>
      <c r="F21" s="19"/>
      <c r="G21" s="82"/>
      <c r="H21" s="100"/>
      <c r="I21" s="100"/>
      <c r="J21" s="101"/>
      <c r="M21" s="54"/>
    </row>
    <row r="22" spans="1:16" s="46" customFormat="1" ht="15" hidden="1" customHeight="1" x14ac:dyDescent="0.25">
      <c r="A22" s="6" t="s">
        <v>58</v>
      </c>
      <c r="B22" s="6" t="s">
        <v>59</v>
      </c>
      <c r="C22" s="16"/>
      <c r="D22" s="16"/>
      <c r="E22" s="38"/>
      <c r="F22" s="19"/>
      <c r="G22" s="81"/>
      <c r="H22" s="100"/>
      <c r="I22" s="100"/>
      <c r="J22" s="101"/>
      <c r="M22" s="54"/>
    </row>
    <row r="23" spans="1:16" s="46" customFormat="1" x14ac:dyDescent="0.25">
      <c r="A23" s="31" t="s">
        <v>60</v>
      </c>
      <c r="B23" s="6">
        <v>4</v>
      </c>
      <c r="C23" s="16"/>
      <c r="D23" s="16"/>
      <c r="E23" s="38"/>
      <c r="F23" s="19"/>
      <c r="G23" s="81"/>
      <c r="H23" s="100"/>
      <c r="I23" s="100"/>
      <c r="J23" s="101"/>
      <c r="M23" s="54"/>
    </row>
    <row r="24" spans="1:16" s="46" customFormat="1" x14ac:dyDescent="0.25">
      <c r="A24" s="31" t="s">
        <v>61</v>
      </c>
      <c r="B24" s="6">
        <v>3</v>
      </c>
      <c r="C24" s="16"/>
      <c r="D24" s="16"/>
      <c r="E24" s="38"/>
      <c r="F24" s="19"/>
      <c r="G24" s="81"/>
      <c r="H24" s="100"/>
      <c r="I24" s="100"/>
      <c r="J24" s="101"/>
      <c r="M24" s="54"/>
    </row>
    <row r="25" spans="1:16" x14ac:dyDescent="0.25">
      <c r="A25" s="31" t="s">
        <v>62</v>
      </c>
      <c r="B25" s="6">
        <v>2</v>
      </c>
      <c r="C25" s="16"/>
      <c r="D25" s="16"/>
      <c r="E25" s="38"/>
      <c r="F25" s="19"/>
      <c r="G25" s="81"/>
      <c r="H25" s="100"/>
      <c r="I25" s="100"/>
      <c r="J25" s="101"/>
      <c r="K25" s="46"/>
      <c r="N25" s="46"/>
      <c r="O25" s="46"/>
      <c r="P25" s="46"/>
    </row>
    <row r="26" spans="1:16" x14ac:dyDescent="0.25">
      <c r="A26" s="31" t="s">
        <v>63</v>
      </c>
      <c r="B26" s="6">
        <v>1</v>
      </c>
      <c r="C26" s="16"/>
      <c r="D26" s="16"/>
      <c r="E26" s="38"/>
      <c r="G26" s="46"/>
      <c r="H26" s="100"/>
      <c r="I26" s="100"/>
      <c r="J26" s="101"/>
      <c r="K26" s="46"/>
      <c r="N26" s="46"/>
      <c r="O26" s="46"/>
      <c r="P26" s="46"/>
    </row>
    <row r="27" spans="1:16" x14ac:dyDescent="0.25">
      <c r="A27" s="16" t="s">
        <v>64</v>
      </c>
      <c r="B27" s="16"/>
      <c r="C27" s="16"/>
      <c r="D27" s="16"/>
      <c r="E27" s="38"/>
      <c r="F27" s="19"/>
      <c r="G27" s="81"/>
      <c r="H27" s="100"/>
      <c r="I27" s="100"/>
      <c r="J27" s="101"/>
    </row>
    <row r="28" spans="1:16" x14ac:dyDescent="0.25">
      <c r="A28" s="6" t="s">
        <v>65</v>
      </c>
      <c r="B28" s="6" t="s">
        <v>55</v>
      </c>
      <c r="C28" s="16"/>
      <c r="D28" s="16"/>
      <c r="F28" s="19"/>
      <c r="G28" s="81"/>
      <c r="H28" s="100"/>
      <c r="I28" s="100"/>
      <c r="J28" s="101"/>
    </row>
    <row r="29" spans="1:16" ht="23.25" hidden="1" customHeight="1" x14ac:dyDescent="0.25">
      <c r="A29" s="35" t="s">
        <v>66</v>
      </c>
      <c r="B29" s="36" t="s">
        <v>67</v>
      </c>
      <c r="C29" s="16"/>
      <c r="D29" s="16"/>
      <c r="E29" s="38"/>
      <c r="F29" s="19"/>
      <c r="G29" s="81"/>
      <c r="H29" s="100"/>
      <c r="I29" s="100"/>
      <c r="J29" s="101"/>
    </row>
    <row r="30" spans="1:16" x14ac:dyDescent="0.25">
      <c r="A30" s="31" t="s">
        <v>68</v>
      </c>
      <c r="B30" s="36" t="s">
        <v>69</v>
      </c>
      <c r="C30" s="16"/>
      <c r="D30" s="16"/>
      <c r="E30" s="38"/>
      <c r="F30" s="19"/>
      <c r="G30" s="81"/>
      <c r="H30" s="100"/>
      <c r="I30" s="100"/>
      <c r="J30" s="101"/>
    </row>
    <row r="31" spans="1:16" x14ac:dyDescent="0.25">
      <c r="A31" s="31" t="s">
        <v>70</v>
      </c>
      <c r="B31" s="36" t="s">
        <v>71</v>
      </c>
      <c r="C31" s="16"/>
      <c r="D31" s="16"/>
      <c r="F31" s="19"/>
      <c r="G31" s="81"/>
      <c r="H31" s="100"/>
      <c r="I31" s="100"/>
      <c r="J31" s="101"/>
    </row>
    <row r="32" spans="1:16" x14ac:dyDescent="0.25">
      <c r="A32" s="16"/>
      <c r="B32" s="5"/>
      <c r="C32" s="16"/>
      <c r="D32" s="16"/>
      <c r="E32" s="38"/>
      <c r="F32" s="19"/>
      <c r="G32" s="81"/>
      <c r="H32" s="100"/>
      <c r="I32" s="100"/>
    </row>
    <row r="33" spans="1:9" x14ac:dyDescent="0.25">
      <c r="A33" s="112" t="s">
        <v>72</v>
      </c>
      <c r="B33" s="112"/>
      <c r="C33" s="112"/>
      <c r="D33" s="112"/>
      <c r="E33" s="5" t="s">
        <v>73</v>
      </c>
      <c r="F33" s="19"/>
      <c r="G33" s="81"/>
      <c r="H33" s="100"/>
      <c r="I33" s="100"/>
    </row>
    <row r="34" spans="1:9" x14ac:dyDescent="0.25">
      <c r="A34" s="112"/>
      <c r="B34" s="112"/>
      <c r="C34" s="112"/>
      <c r="D34" s="112"/>
      <c r="E34" s="112"/>
      <c r="F34" s="19"/>
      <c r="G34" s="81"/>
      <c r="H34" s="100"/>
      <c r="I34" s="100"/>
    </row>
    <row r="35" spans="1:9" x14ac:dyDescent="0.25">
      <c r="A35" s="112"/>
      <c r="B35" s="112"/>
      <c r="C35" s="112"/>
      <c r="D35" s="112"/>
      <c r="E35" s="112"/>
      <c r="F35" s="19"/>
      <c r="G35" s="81"/>
      <c r="H35" s="100"/>
      <c r="I35" s="100"/>
    </row>
    <row r="36" spans="1:9" x14ac:dyDescent="0.25">
      <c r="A36" s="112"/>
      <c r="B36" s="112"/>
      <c r="C36" s="112"/>
      <c r="D36" s="112"/>
      <c r="E36" s="112"/>
      <c r="F36" s="19"/>
      <c r="G36" s="81"/>
      <c r="H36" s="100"/>
      <c r="I36" s="100"/>
    </row>
    <row r="37" spans="1:9" x14ac:dyDescent="0.25">
      <c r="A37" s="112"/>
      <c r="B37" s="112"/>
      <c r="C37" s="112"/>
      <c r="D37" s="112"/>
      <c r="E37" s="112"/>
      <c r="F37" s="19"/>
      <c r="G37" s="81"/>
      <c r="H37" s="100"/>
      <c r="I37" s="100"/>
    </row>
    <row r="38" spans="1:9" x14ac:dyDescent="0.25">
      <c r="A38" s="112" t="s">
        <v>74</v>
      </c>
      <c r="B38" s="112"/>
      <c r="C38" s="112"/>
      <c r="D38" s="112"/>
      <c r="E38" s="5" t="s">
        <v>75</v>
      </c>
      <c r="F38" s="19"/>
      <c r="G38" s="81"/>
      <c r="H38" s="100"/>
      <c r="I38" s="100"/>
    </row>
    <row r="39" spans="1:9" x14ac:dyDescent="0.25">
      <c r="A39" s="110" t="s">
        <v>76</v>
      </c>
      <c r="B39" s="110"/>
      <c r="C39" s="110"/>
      <c r="D39" s="110"/>
      <c r="E39" s="4" t="s">
        <v>77</v>
      </c>
      <c r="F39" s="19"/>
      <c r="G39" s="81"/>
    </row>
    <row r="40" spans="1:9" x14ac:dyDescent="0.25">
      <c r="F40" s="19"/>
      <c r="G40" s="82"/>
    </row>
    <row r="41" spans="1:9" x14ac:dyDescent="0.25">
      <c r="F41" s="19"/>
      <c r="G41" s="82"/>
    </row>
    <row r="42" spans="1:9" x14ac:dyDescent="0.25">
      <c r="F42" s="16"/>
      <c r="G42" s="82"/>
      <c r="H42" s="18"/>
    </row>
    <row r="43" spans="1:9" x14ac:dyDescent="0.25">
      <c r="F43" s="16"/>
      <c r="G43" s="82"/>
      <c r="H43" s="18"/>
    </row>
    <row r="44" spans="1:9" x14ac:dyDescent="0.25">
      <c r="F44" s="16"/>
      <c r="G44" s="82"/>
      <c r="H44" s="18"/>
    </row>
    <row r="45" spans="1:9" x14ac:dyDescent="0.25">
      <c r="H45" s="18"/>
    </row>
    <row r="46" spans="1:9" x14ac:dyDescent="0.25">
      <c r="H46" s="18"/>
    </row>
    <row r="47" spans="1:9" x14ac:dyDescent="0.25">
      <c r="H47" s="18"/>
    </row>
    <row r="48" spans="1:9" x14ac:dyDescent="0.25">
      <c r="H48" s="18"/>
    </row>
    <row r="49" spans="8:8" x14ac:dyDescent="0.25">
      <c r="H49" s="18"/>
    </row>
    <row r="50" spans="8:8" x14ac:dyDescent="0.25">
      <c r="H50" s="18"/>
    </row>
    <row r="51" spans="8:8" x14ac:dyDescent="0.25">
      <c r="H51" s="18"/>
    </row>
    <row r="52" spans="8:8" x14ac:dyDescent="0.25">
      <c r="H52" s="18"/>
    </row>
    <row r="53" spans="8:8" x14ac:dyDescent="0.25">
      <c r="H53" s="18"/>
    </row>
    <row r="54" spans="8:8" x14ac:dyDescent="0.25">
      <c r="H54" s="18"/>
    </row>
    <row r="55" spans="8:8" x14ac:dyDescent="0.25">
      <c r="H55" s="18"/>
    </row>
    <row r="56" spans="8:8" x14ac:dyDescent="0.25">
      <c r="H56" s="18"/>
    </row>
    <row r="57" spans="8:8" x14ac:dyDescent="0.25">
      <c r="H57" s="18"/>
    </row>
    <row r="58" spans="8:8" x14ac:dyDescent="0.25">
      <c r="H58" s="18"/>
    </row>
    <row r="59" spans="8:8" x14ac:dyDescent="0.25">
      <c r="H59" s="103"/>
    </row>
  </sheetData>
  <mergeCells count="12">
    <mergeCell ref="A38:D38"/>
    <mergeCell ref="A39:D39"/>
    <mergeCell ref="B6:E6"/>
    <mergeCell ref="A17:C17"/>
    <mergeCell ref="A33:D33"/>
    <mergeCell ref="A34:D37"/>
    <mergeCell ref="E34:E37"/>
    <mergeCell ref="A1:A3"/>
    <mergeCell ref="B1:E3"/>
    <mergeCell ref="K1:O1"/>
    <mergeCell ref="B4:E4"/>
    <mergeCell ref="B5:E5"/>
  </mergeCells>
  <conditionalFormatting sqref="E17:E19">
    <cfRule type="containsText" dxfId="11" priority="2" operator="containsText" text="Poor">
      <formula>NOT(ISERROR(SEARCH("Poor",E17)))</formula>
    </cfRule>
    <cfRule type="containsText" dxfId="10" priority="3" operator="containsText" text="Average">
      <formula>NOT(ISERROR(SEARCH("Average",E17)))</formula>
    </cfRule>
    <cfRule type="containsText" dxfId="9" priority="4" operator="containsText" text="Good">
      <formula>NOT(ISERROR(SEARCH("Good",E17)))</formula>
    </cfRule>
    <cfRule type="containsText" dxfId="8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40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24.140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66.7109375" style="16" customWidth="1"/>
    <col min="6" max="6" width="12.140625" style="16" customWidth="1"/>
    <col min="7" max="7" width="8.42578125" style="8" customWidth="1"/>
    <col min="8" max="8" width="10.85546875" style="16" customWidth="1"/>
    <col min="9" max="16384" width="8.7109375" style="16"/>
  </cols>
  <sheetData>
    <row r="1" spans="1:15" s="19" customFormat="1" ht="14.25" customHeight="1" x14ac:dyDescent="0.25">
      <c r="A1" s="108"/>
      <c r="B1" s="109" t="s">
        <v>30</v>
      </c>
      <c r="C1" s="109"/>
      <c r="D1" s="109"/>
      <c r="E1" s="109"/>
      <c r="F1" s="7"/>
      <c r="G1" s="8"/>
    </row>
    <row r="2" spans="1:15" s="19" customFormat="1" x14ac:dyDescent="0.25">
      <c r="A2" s="108"/>
      <c r="B2" s="109"/>
      <c r="C2" s="109"/>
      <c r="D2" s="109"/>
      <c r="E2" s="109"/>
      <c r="F2" s="7"/>
      <c r="G2" s="8"/>
    </row>
    <row r="3" spans="1:15" s="19" customFormat="1" x14ac:dyDescent="0.25">
      <c r="A3" s="108"/>
      <c r="B3" s="109"/>
      <c r="C3" s="109"/>
      <c r="D3" s="109"/>
      <c r="E3" s="109"/>
      <c r="F3" s="7"/>
      <c r="G3" s="8"/>
    </row>
    <row r="4" spans="1:15" s="19" customFormat="1" x14ac:dyDescent="0.25">
      <c r="A4" s="19" t="s">
        <v>31</v>
      </c>
      <c r="B4" s="108" t="s">
        <v>27</v>
      </c>
      <c r="C4" s="108"/>
      <c r="D4" s="108"/>
      <c r="E4" s="108"/>
      <c r="F4" s="8"/>
      <c r="G4" s="8"/>
    </row>
    <row r="5" spans="1:15" s="19" customFormat="1" x14ac:dyDescent="0.25">
      <c r="A5" s="19" t="s">
        <v>32</v>
      </c>
      <c r="B5" s="108" t="s">
        <v>28</v>
      </c>
      <c r="C5" s="108"/>
      <c r="D5" s="108"/>
      <c r="E5" s="108"/>
      <c r="F5" s="8"/>
      <c r="G5" s="104"/>
    </row>
    <row r="6" spans="1:15" s="19" customFormat="1" x14ac:dyDescent="0.25">
      <c r="A6" s="19" t="s">
        <v>33</v>
      </c>
      <c r="B6" s="108" t="s">
        <v>148</v>
      </c>
      <c r="C6" s="108"/>
      <c r="D6" s="108"/>
      <c r="E6" s="108"/>
      <c r="F6" s="8"/>
      <c r="G6" s="104"/>
    </row>
    <row r="7" spans="1:15" x14ac:dyDescent="0.2">
      <c r="G7" s="105"/>
    </row>
    <row r="8" spans="1:15" ht="22.5" x14ac:dyDescent="0.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21"/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141</v>
      </c>
      <c r="F9" s="26"/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3</v>
      </c>
      <c r="D10" s="24">
        <f t="shared" si="0"/>
        <v>60</v>
      </c>
      <c r="E10" s="25" t="s">
        <v>87</v>
      </c>
      <c r="F10" s="26"/>
      <c r="G10" s="2"/>
      <c r="H10" s="3"/>
      <c r="I10" s="3"/>
      <c r="J10" s="27"/>
      <c r="K10" s="28"/>
      <c r="L10" s="28"/>
      <c r="M10" s="28"/>
      <c r="N10" s="29"/>
      <c r="O10" s="30"/>
    </row>
    <row r="11" spans="1:15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1" t="s">
        <v>142</v>
      </c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99</v>
      </c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">
      <c r="A13" s="23" t="s">
        <v>49</v>
      </c>
      <c r="B13" s="6">
        <v>10</v>
      </c>
      <c r="C13" s="6">
        <v>4</v>
      </c>
      <c r="D13" s="6">
        <f t="shared" si="0"/>
        <v>40</v>
      </c>
      <c r="E13" s="31" t="s">
        <v>50</v>
      </c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">
      <c r="A14" s="31" t="s">
        <v>51</v>
      </c>
      <c r="B14" s="6">
        <v>5</v>
      </c>
      <c r="C14" s="6">
        <v>4</v>
      </c>
      <c r="D14" s="6">
        <f t="shared" si="0"/>
        <v>20</v>
      </c>
      <c r="E14" s="35" t="s">
        <v>79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">
      <c r="A15" s="31" t="s">
        <v>53</v>
      </c>
      <c r="B15" s="6">
        <v>5</v>
      </c>
      <c r="C15" s="6">
        <v>4</v>
      </c>
      <c r="D15" s="6">
        <f t="shared" si="0"/>
        <v>20</v>
      </c>
      <c r="E15" s="31" t="s">
        <v>54</v>
      </c>
      <c r="G15" s="2"/>
      <c r="H15" s="3"/>
      <c r="I15" s="3"/>
      <c r="J15" s="27"/>
      <c r="K15" s="28"/>
      <c r="L15" s="28"/>
      <c r="M15" s="28"/>
      <c r="N15" s="29"/>
      <c r="O15" s="30"/>
    </row>
    <row r="16" spans="1:15" hidden="1" x14ac:dyDescent="0.2">
      <c r="A16" s="32"/>
      <c r="B16" s="4">
        <f>SUM(B9:B15)</f>
        <v>100</v>
      </c>
      <c r="D16" s="4">
        <f>SUM(D9:D15)</f>
        <v>380</v>
      </c>
      <c r="G16" s="2"/>
      <c r="H16" s="3"/>
      <c r="I16" s="3"/>
      <c r="J16" s="27"/>
      <c r="K16" s="28"/>
      <c r="L16" s="28"/>
      <c r="M16" s="28"/>
      <c r="N16" s="29"/>
      <c r="O16" s="30"/>
    </row>
    <row r="17" spans="1:15" x14ac:dyDescent="0.2">
      <c r="A17" s="111" t="s">
        <v>55</v>
      </c>
      <c r="B17" s="111"/>
      <c r="C17" s="111"/>
      <c r="D17" s="33">
        <f>D16/B16</f>
        <v>3.8</v>
      </c>
      <c r="E17" s="6" t="str">
        <f>IF(D17&gt;=3.7,"Excellent",IF(D17&gt;=3,"Good",IF(D17&lt;3,"Poor")))</f>
        <v>Excellent</v>
      </c>
      <c r="F17" s="4"/>
      <c r="G17" s="2"/>
      <c r="H17" s="3"/>
      <c r="I17" s="3"/>
      <c r="J17" s="27"/>
      <c r="K17" s="28"/>
      <c r="L17" s="28"/>
      <c r="M17" s="28"/>
      <c r="N17" s="29"/>
      <c r="O17" s="30"/>
    </row>
    <row r="18" spans="1:15" x14ac:dyDescent="0.2">
      <c r="G18" s="2"/>
      <c r="H18" s="3"/>
      <c r="I18" s="3"/>
      <c r="J18" s="27"/>
      <c r="K18" s="28"/>
      <c r="L18" s="28"/>
      <c r="M18" s="28"/>
      <c r="N18" s="29"/>
      <c r="O18" s="30"/>
    </row>
    <row r="19" spans="1:15" x14ac:dyDescent="0.2">
      <c r="A19" s="16" t="s">
        <v>56</v>
      </c>
      <c r="G19" s="2"/>
      <c r="H19" s="3"/>
      <c r="I19" s="3"/>
      <c r="J19" s="27"/>
      <c r="K19" s="28"/>
      <c r="L19" s="28"/>
      <c r="M19" s="28"/>
      <c r="N19" s="29"/>
      <c r="O19" s="30"/>
    </row>
    <row r="20" spans="1:15" x14ac:dyDescent="0.2">
      <c r="A20" s="16" t="s">
        <v>57</v>
      </c>
      <c r="G20" s="4"/>
    </row>
    <row r="21" spans="1:15" x14ac:dyDescent="0.2">
      <c r="A21" s="6" t="s">
        <v>58</v>
      </c>
      <c r="B21" s="6" t="s">
        <v>59</v>
      </c>
      <c r="G21" s="4"/>
    </row>
    <row r="22" spans="1:15" x14ac:dyDescent="0.2">
      <c r="A22" s="31" t="s">
        <v>60</v>
      </c>
      <c r="B22" s="6">
        <v>4</v>
      </c>
      <c r="G22" s="4"/>
    </row>
    <row r="23" spans="1:15" x14ac:dyDescent="0.2">
      <c r="A23" s="31" t="s">
        <v>61</v>
      </c>
      <c r="B23" s="6">
        <v>3</v>
      </c>
      <c r="G23" s="4"/>
    </row>
    <row r="24" spans="1:15" x14ac:dyDescent="0.2">
      <c r="A24" s="31" t="s">
        <v>62</v>
      </c>
      <c r="B24" s="6">
        <v>2</v>
      </c>
      <c r="G24" s="4"/>
    </row>
    <row r="25" spans="1:15" x14ac:dyDescent="0.2">
      <c r="A25" s="31" t="s">
        <v>63</v>
      </c>
      <c r="B25" s="6">
        <v>1</v>
      </c>
      <c r="G25" s="4"/>
    </row>
    <row r="26" spans="1:15" x14ac:dyDescent="0.2">
      <c r="G26" s="4"/>
    </row>
    <row r="27" spans="1:15" x14ac:dyDescent="0.2">
      <c r="A27" s="16" t="s">
        <v>64</v>
      </c>
    </row>
    <row r="28" spans="1:15" x14ac:dyDescent="0.2">
      <c r="A28" s="6" t="s">
        <v>65</v>
      </c>
      <c r="B28" s="6" t="s">
        <v>55</v>
      </c>
    </row>
    <row r="29" spans="1:15" ht="22.5" x14ac:dyDescent="0.2">
      <c r="A29" s="35" t="s">
        <v>66</v>
      </c>
      <c r="B29" s="36" t="s">
        <v>67</v>
      </c>
    </row>
    <row r="30" spans="1:15" x14ac:dyDescent="0.2">
      <c r="A30" s="31" t="s">
        <v>68</v>
      </c>
      <c r="B30" s="36" t="s">
        <v>69</v>
      </c>
      <c r="F30" s="5"/>
    </row>
    <row r="31" spans="1:15" x14ac:dyDescent="0.2">
      <c r="A31" s="31" t="s">
        <v>70</v>
      </c>
      <c r="B31" s="36" t="s">
        <v>71</v>
      </c>
      <c r="F31" s="5"/>
    </row>
    <row r="32" spans="1:15" x14ac:dyDescent="0.2">
      <c r="F32" s="5"/>
    </row>
    <row r="33" spans="1:6" x14ac:dyDescent="0.2">
      <c r="F33" s="5"/>
    </row>
    <row r="34" spans="1:6" x14ac:dyDescent="0.2">
      <c r="A34" s="112" t="s">
        <v>72</v>
      </c>
      <c r="B34" s="112"/>
      <c r="C34" s="112"/>
      <c r="D34" s="112"/>
      <c r="E34" s="5" t="s">
        <v>73</v>
      </c>
      <c r="F34" s="5"/>
    </row>
    <row r="35" spans="1:6" x14ac:dyDescent="0.2">
      <c r="A35" s="112"/>
      <c r="B35" s="112"/>
      <c r="C35" s="112"/>
      <c r="D35" s="112"/>
      <c r="E35" s="112"/>
      <c r="F35" s="5"/>
    </row>
    <row r="36" spans="1:6" x14ac:dyDescent="0.2">
      <c r="A36" s="112"/>
      <c r="B36" s="112"/>
      <c r="C36" s="112"/>
      <c r="D36" s="112"/>
      <c r="E36" s="112"/>
      <c r="F36" s="5"/>
    </row>
    <row r="37" spans="1:6" x14ac:dyDescent="0.2">
      <c r="A37" s="112"/>
      <c r="B37" s="112"/>
      <c r="C37" s="112"/>
      <c r="D37" s="112"/>
      <c r="E37" s="112"/>
    </row>
    <row r="38" spans="1:6" x14ac:dyDescent="0.2">
      <c r="A38" s="112"/>
      <c r="B38" s="112"/>
      <c r="C38" s="112"/>
      <c r="D38" s="112"/>
      <c r="E38" s="112"/>
    </row>
    <row r="39" spans="1:6" x14ac:dyDescent="0.2">
      <c r="A39" s="112" t="s">
        <v>74</v>
      </c>
      <c r="B39" s="112"/>
      <c r="C39" s="112"/>
      <c r="D39" s="112"/>
      <c r="E39" s="5" t="s">
        <v>75</v>
      </c>
    </row>
    <row r="40" spans="1:6" x14ac:dyDescent="0.2">
      <c r="A40" s="110" t="s">
        <v>76</v>
      </c>
      <c r="B40" s="110"/>
      <c r="C40" s="110"/>
      <c r="D40" s="110"/>
      <c r="E40" s="4" t="s">
        <v>77</v>
      </c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:F17">
    <cfRule type="containsText" dxfId="7" priority="2" operator="containsText" text="Poor">
      <formula>NOT(ISERROR(SEARCH("Poor",E17)))</formula>
    </cfRule>
    <cfRule type="containsText" dxfId="6" priority="3" operator="containsText" text="Average">
      <formula>NOT(ISERROR(SEARCH("Average",E17)))</formula>
    </cfRule>
    <cfRule type="containsText" dxfId="5" priority="4" operator="containsText" text="Good">
      <formula>NOT(ISERROR(SEARCH("Good",E17)))</formula>
    </cfRule>
    <cfRule type="containsText" dxfId="4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40"/>
  <sheetViews>
    <sheetView zoomScale="89" zoomScaleNormal="89" workbookViewId="0">
      <selection activeCell="B6" sqref="B6:E6"/>
    </sheetView>
  </sheetViews>
  <sheetFormatPr defaultColWidth="8.7109375" defaultRowHeight="11.25" x14ac:dyDescent="0.2"/>
  <cols>
    <col min="1" max="1" width="24.140625" style="16" customWidth="1"/>
    <col min="2" max="2" width="9.42578125" style="16" customWidth="1"/>
    <col min="3" max="3" width="5.5703125" style="16" customWidth="1"/>
    <col min="4" max="4" width="12.85546875" style="16" customWidth="1"/>
    <col min="5" max="5" width="66.7109375" style="16" customWidth="1"/>
    <col min="6" max="6" width="12.140625" style="16" customWidth="1"/>
    <col min="7" max="7" width="8.42578125" style="8" customWidth="1"/>
    <col min="8" max="8" width="10.85546875" style="16" customWidth="1"/>
    <col min="9" max="16384" width="8.7109375" style="16"/>
  </cols>
  <sheetData>
    <row r="1" spans="1:15" s="19" customFormat="1" ht="14.25" customHeight="1" x14ac:dyDescent="0.25">
      <c r="A1" s="108"/>
      <c r="B1" s="109" t="s">
        <v>30</v>
      </c>
      <c r="C1" s="109"/>
      <c r="D1" s="109"/>
      <c r="E1" s="109"/>
      <c r="F1" s="7"/>
      <c r="G1" s="8"/>
    </row>
    <row r="2" spans="1:15" s="19" customFormat="1" x14ac:dyDescent="0.25">
      <c r="A2" s="108"/>
      <c r="B2" s="109"/>
      <c r="C2" s="109"/>
      <c r="D2" s="109"/>
      <c r="E2" s="109"/>
      <c r="F2" s="7"/>
      <c r="G2" s="8"/>
    </row>
    <row r="3" spans="1:15" s="19" customFormat="1" x14ac:dyDescent="0.25">
      <c r="A3" s="108"/>
      <c r="B3" s="109"/>
      <c r="C3" s="109"/>
      <c r="D3" s="109"/>
      <c r="E3" s="109"/>
      <c r="F3" s="7"/>
      <c r="G3" s="8"/>
    </row>
    <row r="4" spans="1:15" s="19" customFormat="1" x14ac:dyDescent="0.25">
      <c r="A4" s="19" t="s">
        <v>31</v>
      </c>
      <c r="B4" s="108" t="s">
        <v>27</v>
      </c>
      <c r="C4" s="108"/>
      <c r="D4" s="108"/>
      <c r="E4" s="108"/>
      <c r="F4" s="8"/>
      <c r="G4" s="8"/>
    </row>
    <row r="5" spans="1:15" s="19" customFormat="1" x14ac:dyDescent="0.25">
      <c r="A5" s="19" t="s">
        <v>32</v>
      </c>
      <c r="B5" s="108" t="s">
        <v>28</v>
      </c>
      <c r="C5" s="108"/>
      <c r="D5" s="108"/>
      <c r="E5" s="108"/>
      <c r="F5" s="8"/>
      <c r="G5" s="104"/>
    </row>
    <row r="6" spans="1:15" s="19" customFormat="1" x14ac:dyDescent="0.25">
      <c r="A6" s="19" t="s">
        <v>33</v>
      </c>
      <c r="B6" s="108" t="s">
        <v>148</v>
      </c>
      <c r="C6" s="108"/>
      <c r="D6" s="108"/>
      <c r="E6" s="108"/>
      <c r="F6" s="8"/>
      <c r="G6" s="104"/>
    </row>
    <row r="7" spans="1:15" x14ac:dyDescent="0.2">
      <c r="G7" s="105"/>
    </row>
    <row r="8" spans="1:15" ht="22.5" x14ac:dyDescent="0.2">
      <c r="A8" s="20" t="s">
        <v>35</v>
      </c>
      <c r="B8" s="20" t="s">
        <v>36</v>
      </c>
      <c r="C8" s="20" t="s">
        <v>37</v>
      </c>
      <c r="D8" s="20" t="s">
        <v>38</v>
      </c>
      <c r="E8" s="20" t="s">
        <v>39</v>
      </c>
      <c r="F8" s="21"/>
      <c r="G8" s="22"/>
      <c r="H8" s="22"/>
      <c r="I8" s="22"/>
      <c r="J8" s="22"/>
      <c r="K8" s="22"/>
      <c r="L8" s="22"/>
      <c r="M8" s="22"/>
      <c r="N8" s="22"/>
      <c r="O8" s="22"/>
    </row>
    <row r="9" spans="1:15" s="19" customFormat="1" x14ac:dyDescent="0.15">
      <c r="A9" s="23" t="s">
        <v>40</v>
      </c>
      <c r="B9" s="24">
        <v>20</v>
      </c>
      <c r="C9" s="24">
        <v>4</v>
      </c>
      <c r="D9" s="24">
        <f t="shared" ref="D9:D15" si="0">B9*C9</f>
        <v>80</v>
      </c>
      <c r="E9" s="25" t="s">
        <v>143</v>
      </c>
      <c r="F9" s="26"/>
      <c r="G9" s="2"/>
      <c r="H9" s="3"/>
      <c r="I9" s="3"/>
      <c r="J9" s="27"/>
      <c r="K9" s="28"/>
      <c r="L9" s="28"/>
      <c r="M9" s="28"/>
      <c r="N9" s="29"/>
      <c r="O9" s="30"/>
    </row>
    <row r="10" spans="1:15" s="19" customFormat="1" x14ac:dyDescent="0.15">
      <c r="A10" s="23" t="s">
        <v>42</v>
      </c>
      <c r="B10" s="24">
        <v>20</v>
      </c>
      <c r="C10" s="24">
        <v>4</v>
      </c>
      <c r="D10" s="24">
        <f t="shared" si="0"/>
        <v>80</v>
      </c>
      <c r="E10" s="25" t="s">
        <v>87</v>
      </c>
      <c r="F10" s="26"/>
      <c r="G10" s="2"/>
      <c r="H10" s="3"/>
      <c r="I10" s="3"/>
      <c r="J10" s="27"/>
      <c r="K10" s="28"/>
      <c r="L10" s="28"/>
      <c r="M10" s="28"/>
      <c r="N10" s="29"/>
      <c r="O10" s="30"/>
    </row>
    <row r="11" spans="1:15" x14ac:dyDescent="0.2">
      <c r="A11" s="23" t="s">
        <v>45</v>
      </c>
      <c r="B11" s="24">
        <v>20</v>
      </c>
      <c r="C11" s="24">
        <v>4</v>
      </c>
      <c r="D11" s="24">
        <f t="shared" si="0"/>
        <v>80</v>
      </c>
      <c r="E11" s="31" t="s">
        <v>144</v>
      </c>
      <c r="G11" s="2"/>
      <c r="H11" s="3"/>
      <c r="I11" s="3"/>
      <c r="J11" s="27"/>
      <c r="K11" s="28"/>
      <c r="L11" s="28"/>
      <c r="M11" s="28"/>
      <c r="N11" s="29"/>
      <c r="O11" s="30"/>
    </row>
    <row r="12" spans="1:15" x14ac:dyDescent="0.2">
      <c r="A12" s="23" t="s">
        <v>47</v>
      </c>
      <c r="B12" s="24">
        <v>20</v>
      </c>
      <c r="C12" s="24">
        <v>4</v>
      </c>
      <c r="D12" s="24">
        <f t="shared" si="0"/>
        <v>80</v>
      </c>
      <c r="E12" s="25" t="s">
        <v>99</v>
      </c>
      <c r="G12" s="2"/>
      <c r="H12" s="3"/>
      <c r="I12" s="3"/>
      <c r="J12" s="27"/>
      <c r="K12" s="28"/>
      <c r="L12" s="28"/>
      <c r="M12" s="28"/>
      <c r="N12" s="29"/>
      <c r="O12" s="30"/>
    </row>
    <row r="13" spans="1:15" x14ac:dyDescent="0.2">
      <c r="A13" s="23" t="s">
        <v>49</v>
      </c>
      <c r="B13" s="6">
        <v>10</v>
      </c>
      <c r="C13" s="6">
        <v>4</v>
      </c>
      <c r="D13" s="6">
        <f t="shared" si="0"/>
        <v>40</v>
      </c>
      <c r="E13" s="31" t="s">
        <v>50</v>
      </c>
      <c r="G13" s="2"/>
      <c r="H13" s="3"/>
      <c r="I13" s="3"/>
      <c r="J13" s="27"/>
      <c r="K13" s="28"/>
      <c r="L13" s="28"/>
      <c r="M13" s="28"/>
      <c r="N13" s="29"/>
      <c r="O13" s="30"/>
    </row>
    <row r="14" spans="1:15" x14ac:dyDescent="0.2">
      <c r="A14" s="31" t="s">
        <v>51</v>
      </c>
      <c r="B14" s="6">
        <v>5</v>
      </c>
      <c r="C14" s="6">
        <v>3</v>
      </c>
      <c r="D14" s="6">
        <f t="shared" si="0"/>
        <v>15</v>
      </c>
      <c r="E14" s="35" t="s">
        <v>79</v>
      </c>
      <c r="G14" s="2"/>
      <c r="H14" s="3"/>
      <c r="I14" s="3"/>
      <c r="J14" s="27"/>
      <c r="K14" s="28"/>
      <c r="L14" s="28"/>
      <c r="M14" s="28"/>
      <c r="N14" s="29"/>
      <c r="O14" s="30"/>
    </row>
    <row r="15" spans="1:15" x14ac:dyDescent="0.2">
      <c r="A15" s="31" t="s">
        <v>53</v>
      </c>
      <c r="B15" s="6">
        <v>5</v>
      </c>
      <c r="C15" s="6">
        <v>4</v>
      </c>
      <c r="D15" s="6">
        <f t="shared" si="0"/>
        <v>20</v>
      </c>
      <c r="E15" s="31" t="s">
        <v>54</v>
      </c>
      <c r="G15" s="2"/>
      <c r="H15" s="3"/>
      <c r="I15" s="3"/>
      <c r="J15" s="27"/>
      <c r="K15" s="28"/>
      <c r="L15" s="28"/>
      <c r="M15" s="28"/>
      <c r="N15" s="29"/>
      <c r="O15" s="30"/>
    </row>
    <row r="16" spans="1:15" hidden="1" x14ac:dyDescent="0.2">
      <c r="A16" s="32"/>
      <c r="B16" s="4">
        <f>SUM(B9:B15)</f>
        <v>100</v>
      </c>
      <c r="D16" s="4">
        <f>SUM(D9:D15)</f>
        <v>395</v>
      </c>
      <c r="G16" s="2"/>
      <c r="H16" s="3"/>
      <c r="I16" s="3"/>
      <c r="J16" s="27"/>
      <c r="K16" s="28"/>
      <c r="L16" s="28"/>
      <c r="M16" s="28"/>
      <c r="N16" s="29"/>
      <c r="O16" s="30"/>
    </row>
    <row r="17" spans="1:15" x14ac:dyDescent="0.2">
      <c r="A17" s="111" t="s">
        <v>55</v>
      </c>
      <c r="B17" s="111"/>
      <c r="C17" s="111"/>
      <c r="D17" s="33">
        <f>D16/B16</f>
        <v>3.95</v>
      </c>
      <c r="E17" s="6" t="str">
        <f>IF(D17&gt;=3.7,"Excellent",IF(D17&gt;=3,"Good",IF(D17&lt;3,"Poor")))</f>
        <v>Excellent</v>
      </c>
      <c r="F17" s="4"/>
      <c r="G17" s="2"/>
      <c r="H17" s="3"/>
      <c r="I17" s="3"/>
      <c r="J17" s="27"/>
      <c r="K17" s="28"/>
      <c r="L17" s="28"/>
      <c r="M17" s="28"/>
      <c r="N17" s="29"/>
      <c r="O17" s="30"/>
    </row>
    <row r="18" spans="1:15" x14ac:dyDescent="0.2">
      <c r="G18" s="2"/>
      <c r="H18" s="3"/>
      <c r="I18" s="3"/>
      <c r="J18" s="27"/>
      <c r="K18" s="28"/>
      <c r="L18" s="28"/>
      <c r="M18" s="28"/>
      <c r="N18" s="29"/>
      <c r="O18" s="30"/>
    </row>
    <row r="19" spans="1:15" x14ac:dyDescent="0.2">
      <c r="A19" s="16" t="s">
        <v>56</v>
      </c>
      <c r="G19" s="2"/>
      <c r="H19" s="3"/>
      <c r="I19" s="3"/>
      <c r="J19" s="27"/>
      <c r="K19" s="28"/>
      <c r="L19" s="28"/>
      <c r="M19" s="28"/>
      <c r="N19" s="29"/>
      <c r="O19" s="30"/>
    </row>
    <row r="20" spans="1:15" x14ac:dyDescent="0.2">
      <c r="A20" s="16" t="s">
        <v>57</v>
      </c>
      <c r="G20" s="2"/>
      <c r="H20" s="3"/>
      <c r="I20" s="3"/>
      <c r="J20" s="27"/>
      <c r="K20" s="28"/>
      <c r="L20" s="28"/>
      <c r="M20" s="28"/>
      <c r="N20" s="29"/>
      <c r="O20" s="30"/>
    </row>
    <row r="21" spans="1:15" x14ac:dyDescent="0.2">
      <c r="A21" s="6" t="s">
        <v>58</v>
      </c>
      <c r="B21" s="6" t="s">
        <v>59</v>
      </c>
      <c r="G21" s="2"/>
      <c r="H21" s="3"/>
      <c r="I21" s="3"/>
      <c r="J21" s="27"/>
      <c r="K21" s="28"/>
      <c r="L21" s="28"/>
      <c r="M21" s="28"/>
      <c r="N21" s="29"/>
      <c r="O21" s="30"/>
    </row>
    <row r="22" spans="1:15" x14ac:dyDescent="0.2">
      <c r="A22" s="31" t="s">
        <v>60</v>
      </c>
      <c r="B22" s="6">
        <v>4</v>
      </c>
      <c r="G22" s="2"/>
      <c r="H22" s="3"/>
      <c r="I22" s="3"/>
      <c r="J22" s="27"/>
      <c r="K22" s="28"/>
      <c r="L22" s="28"/>
      <c r="M22" s="28"/>
      <c r="N22" s="29"/>
      <c r="O22" s="30"/>
    </row>
    <row r="23" spans="1:15" x14ac:dyDescent="0.2">
      <c r="A23" s="31" t="s">
        <v>61</v>
      </c>
      <c r="B23" s="6">
        <v>3</v>
      </c>
      <c r="G23" s="2"/>
      <c r="H23" s="3"/>
      <c r="I23" s="3"/>
      <c r="J23" s="27"/>
      <c r="K23" s="28"/>
      <c r="L23" s="28"/>
      <c r="M23" s="28"/>
      <c r="N23" s="29"/>
      <c r="O23" s="30"/>
    </row>
    <row r="24" spans="1:15" x14ac:dyDescent="0.2">
      <c r="A24" s="31" t="s">
        <v>62</v>
      </c>
      <c r="B24" s="6">
        <v>2</v>
      </c>
      <c r="G24" s="2"/>
      <c r="H24" s="3"/>
      <c r="I24" s="3"/>
      <c r="J24" s="27"/>
      <c r="K24" s="28"/>
      <c r="L24" s="28"/>
      <c r="M24" s="28"/>
      <c r="N24" s="29"/>
      <c r="O24" s="30"/>
    </row>
    <row r="25" spans="1:15" x14ac:dyDescent="0.2">
      <c r="A25" s="31" t="s">
        <v>63</v>
      </c>
      <c r="B25" s="6">
        <v>1</v>
      </c>
      <c r="G25" s="2"/>
      <c r="H25" s="3"/>
      <c r="I25" s="3"/>
      <c r="J25" s="27"/>
      <c r="K25" s="28"/>
      <c r="L25" s="28"/>
      <c r="M25" s="28"/>
      <c r="N25" s="29"/>
      <c r="O25" s="30"/>
    </row>
    <row r="26" spans="1:15" x14ac:dyDescent="0.2">
      <c r="G26" s="2"/>
      <c r="H26" s="3"/>
      <c r="I26" s="3"/>
      <c r="J26" s="27"/>
      <c r="K26" s="28"/>
      <c r="L26" s="28"/>
      <c r="M26" s="28"/>
      <c r="N26" s="29"/>
      <c r="O26" s="30"/>
    </row>
    <row r="27" spans="1:15" x14ac:dyDescent="0.2">
      <c r="A27" s="16" t="s">
        <v>64</v>
      </c>
      <c r="G27" s="2"/>
      <c r="H27" s="3"/>
      <c r="I27" s="3"/>
      <c r="J27" s="27"/>
      <c r="K27" s="28"/>
      <c r="L27" s="28"/>
      <c r="M27" s="28"/>
      <c r="N27" s="29"/>
      <c r="O27" s="30"/>
    </row>
    <row r="28" spans="1:15" x14ac:dyDescent="0.2">
      <c r="A28" s="6" t="s">
        <v>65</v>
      </c>
      <c r="B28" s="6" t="s">
        <v>55</v>
      </c>
      <c r="G28" s="2"/>
      <c r="H28" s="3"/>
      <c r="I28" s="3"/>
      <c r="J28" s="27"/>
      <c r="K28" s="28"/>
      <c r="L28" s="28"/>
      <c r="M28" s="28"/>
      <c r="N28" s="29"/>
      <c r="O28" s="30"/>
    </row>
    <row r="29" spans="1:15" ht="22.5" x14ac:dyDescent="0.2">
      <c r="A29" s="35" t="s">
        <v>66</v>
      </c>
      <c r="B29" s="36" t="s">
        <v>67</v>
      </c>
      <c r="G29" s="2"/>
      <c r="H29" s="3"/>
      <c r="I29" s="3"/>
      <c r="J29" s="27"/>
      <c r="K29" s="28"/>
      <c r="L29" s="28"/>
      <c r="M29" s="28"/>
      <c r="N29" s="29"/>
      <c r="O29" s="30"/>
    </row>
    <row r="30" spans="1:15" x14ac:dyDescent="0.2">
      <c r="A30" s="31" t="s">
        <v>68</v>
      </c>
      <c r="B30" s="36" t="s">
        <v>69</v>
      </c>
      <c r="F30" s="5"/>
      <c r="G30" s="2"/>
      <c r="H30" s="3"/>
      <c r="I30" s="3"/>
      <c r="J30" s="27"/>
      <c r="K30" s="28"/>
      <c r="L30" s="28"/>
      <c r="M30" s="28"/>
      <c r="N30" s="29"/>
      <c r="O30" s="30"/>
    </row>
    <row r="31" spans="1:15" x14ac:dyDescent="0.2">
      <c r="A31" s="31" t="s">
        <v>70</v>
      </c>
      <c r="B31" s="36" t="s">
        <v>71</v>
      </c>
      <c r="F31" s="5"/>
      <c r="G31" s="2"/>
      <c r="H31" s="3"/>
      <c r="I31" s="3"/>
      <c r="J31" s="27"/>
      <c r="K31" s="28"/>
      <c r="L31" s="28"/>
      <c r="M31" s="28"/>
      <c r="N31" s="29"/>
      <c r="O31" s="30"/>
    </row>
    <row r="32" spans="1:15" x14ac:dyDescent="0.2">
      <c r="F32" s="5"/>
      <c r="G32" s="2"/>
      <c r="H32" s="3"/>
      <c r="I32" s="3"/>
      <c r="J32" s="27"/>
      <c r="K32" s="28"/>
      <c r="L32" s="28"/>
      <c r="M32" s="28"/>
      <c r="N32" s="29"/>
      <c r="O32" s="30"/>
    </row>
    <row r="33" spans="1:15" x14ac:dyDescent="0.2">
      <c r="F33" s="5"/>
      <c r="G33" s="2"/>
      <c r="H33" s="3"/>
      <c r="I33" s="3"/>
      <c r="J33" s="27"/>
      <c r="K33" s="28"/>
      <c r="L33" s="28"/>
      <c r="M33" s="28"/>
      <c r="N33" s="29"/>
      <c r="O33" s="30"/>
    </row>
    <row r="34" spans="1:15" x14ac:dyDescent="0.2">
      <c r="A34" s="112" t="s">
        <v>72</v>
      </c>
      <c r="B34" s="112"/>
      <c r="C34" s="112"/>
      <c r="D34" s="112"/>
      <c r="E34" s="5" t="s">
        <v>73</v>
      </c>
      <c r="F34" s="5"/>
      <c r="G34" s="2"/>
      <c r="H34" s="3"/>
      <c r="I34" s="3"/>
      <c r="J34" s="27"/>
      <c r="K34" s="28"/>
      <c r="L34" s="28"/>
      <c r="M34" s="28"/>
      <c r="N34" s="29"/>
      <c r="O34" s="30"/>
    </row>
    <row r="35" spans="1:15" x14ac:dyDescent="0.2">
      <c r="A35" s="112"/>
      <c r="B35" s="112"/>
      <c r="C35" s="112"/>
      <c r="D35" s="112"/>
      <c r="E35" s="112"/>
      <c r="F35" s="5"/>
      <c r="G35" s="2"/>
      <c r="H35" s="3"/>
      <c r="I35" s="3"/>
      <c r="J35" s="27"/>
      <c r="K35" s="28"/>
      <c r="L35" s="28"/>
      <c r="M35" s="28"/>
      <c r="N35" s="29"/>
      <c r="O35" s="30"/>
    </row>
    <row r="36" spans="1:15" x14ac:dyDescent="0.2">
      <c r="A36" s="112"/>
      <c r="B36" s="112"/>
      <c r="C36" s="112"/>
      <c r="D36" s="112"/>
      <c r="E36" s="112"/>
      <c r="F36" s="5"/>
      <c r="G36" s="2"/>
      <c r="H36" s="3"/>
      <c r="I36" s="3"/>
      <c r="J36" s="27"/>
      <c r="K36" s="28"/>
      <c r="L36" s="28"/>
      <c r="M36" s="28"/>
      <c r="N36" s="29"/>
      <c r="O36" s="30"/>
    </row>
    <row r="37" spans="1:15" x14ac:dyDescent="0.2">
      <c r="A37" s="112"/>
      <c r="B37" s="112"/>
      <c r="C37" s="112"/>
      <c r="D37" s="112"/>
      <c r="E37" s="112"/>
      <c r="G37" s="2"/>
      <c r="H37" s="3"/>
      <c r="I37" s="3"/>
      <c r="J37" s="27"/>
      <c r="K37" s="28"/>
      <c r="L37" s="28"/>
      <c r="M37" s="28"/>
      <c r="N37" s="29"/>
      <c r="O37" s="30"/>
    </row>
    <row r="38" spans="1:15" x14ac:dyDescent="0.2">
      <c r="A38" s="112"/>
      <c r="B38" s="112"/>
      <c r="C38" s="112"/>
      <c r="D38" s="112"/>
      <c r="E38" s="112"/>
      <c r="G38" s="2"/>
      <c r="H38" s="3"/>
      <c r="I38" s="3"/>
      <c r="J38" s="27"/>
      <c r="K38" s="28"/>
      <c r="L38" s="28"/>
      <c r="M38" s="28"/>
      <c r="N38" s="29"/>
      <c r="O38" s="30"/>
    </row>
    <row r="39" spans="1:15" x14ac:dyDescent="0.2">
      <c r="A39" s="112" t="s">
        <v>74</v>
      </c>
      <c r="B39" s="112"/>
      <c r="C39" s="112"/>
      <c r="D39" s="112"/>
      <c r="E39" s="5" t="s">
        <v>75</v>
      </c>
      <c r="G39" s="2"/>
      <c r="H39" s="3"/>
      <c r="I39" s="3"/>
      <c r="J39" s="27"/>
      <c r="K39" s="28"/>
      <c r="L39" s="28"/>
      <c r="M39" s="28"/>
      <c r="N39" s="29"/>
      <c r="O39" s="30"/>
    </row>
    <row r="40" spans="1:15" x14ac:dyDescent="0.2">
      <c r="A40" s="110" t="s">
        <v>76</v>
      </c>
      <c r="B40" s="110"/>
      <c r="C40" s="110"/>
      <c r="D40" s="110"/>
      <c r="E40" s="4" t="s">
        <v>77</v>
      </c>
    </row>
  </sheetData>
  <mergeCells count="11">
    <mergeCell ref="A40:D40"/>
    <mergeCell ref="A17:C17"/>
    <mergeCell ref="A34:D34"/>
    <mergeCell ref="A35:D38"/>
    <mergeCell ref="E35:E38"/>
    <mergeCell ref="A39:D39"/>
    <mergeCell ref="A1:A3"/>
    <mergeCell ref="B1:E3"/>
    <mergeCell ref="B4:E4"/>
    <mergeCell ref="B5:E5"/>
    <mergeCell ref="B6:E6"/>
  </mergeCells>
  <conditionalFormatting sqref="E17:F17">
    <cfRule type="containsText" dxfId="3" priority="2" operator="containsText" text="Poor">
      <formula>NOT(ISERROR(SEARCH("Poor",E17)))</formula>
    </cfRule>
    <cfRule type="containsText" dxfId="2" priority="3" operator="containsText" text="Average">
      <formula>NOT(ISERROR(SEARCH("Average",E17)))</formula>
    </cfRule>
    <cfRule type="containsText" dxfId="1" priority="4" operator="containsText" text="Good">
      <formula>NOT(ISERROR(SEARCH("Good",E17)))</formula>
    </cfRule>
    <cfRule type="containsText" dxfId="0" priority="5" operator="containsText" text="Excellent">
      <formula>NOT(ISERROR(SEARCH("Excellent",E17)))</formula>
    </cfRule>
  </conditionalFormatting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18</vt:i4>
      </vt:variant>
    </vt:vector>
  </HeadingPairs>
  <TitlesOfParts>
    <vt:vector size="37" baseType="lpstr">
      <vt:lpstr>Rekapitulasi</vt:lpstr>
      <vt:lpstr>Bu Fatim</vt:lpstr>
      <vt:lpstr>UD. Hasil Bumi</vt:lpstr>
      <vt:lpstr>Pak Budi Jeruk</vt:lpstr>
      <vt:lpstr>AM Seafood</vt:lpstr>
      <vt:lpstr>Bakoelan Udang</vt:lpstr>
      <vt:lpstr>AHA Mulya</vt:lpstr>
      <vt:lpstr>Redjo Mitra Makmur</vt:lpstr>
      <vt:lpstr>Mie Kapasan</vt:lpstr>
      <vt:lpstr>Daging Kandang</vt:lpstr>
      <vt:lpstr>UD Yasar</vt:lpstr>
      <vt:lpstr>Umi Rosyid</vt:lpstr>
      <vt:lpstr>Mitra Pangan Handijaya</vt:lpstr>
      <vt:lpstr>Blessing Chicken </vt:lpstr>
      <vt:lpstr>Efran</vt:lpstr>
      <vt:lpstr>Ciomas Japfa</vt:lpstr>
      <vt:lpstr>Pak Trio</vt:lpstr>
      <vt:lpstr>Anugrah Telur</vt:lpstr>
      <vt:lpstr>Sumber Rejeki</vt:lpstr>
      <vt:lpstr>'AHA Mulya'!Print_Area</vt:lpstr>
      <vt:lpstr>'AM Seafood'!Print_Area</vt:lpstr>
      <vt:lpstr>'Anugrah Telur'!Print_Area</vt:lpstr>
      <vt:lpstr>'Bakoelan Udang'!Print_Area</vt:lpstr>
      <vt:lpstr>'Blessing Chicken '!Print_Area</vt:lpstr>
      <vt:lpstr>'Bu Fatim'!Print_Area</vt:lpstr>
      <vt:lpstr>'Ciomas Japfa'!Print_Area</vt:lpstr>
      <vt:lpstr>'Daging Kandang'!Print_Area</vt:lpstr>
      <vt:lpstr>Efran!Print_Area</vt:lpstr>
      <vt:lpstr>'Mie Kapasan'!Print_Area</vt:lpstr>
      <vt:lpstr>'Mitra Pangan Handijaya'!Print_Area</vt:lpstr>
      <vt:lpstr>'Pak Budi Jeruk'!Print_Area</vt:lpstr>
      <vt:lpstr>'Pak Trio'!Print_Area</vt:lpstr>
      <vt:lpstr>'Redjo Mitra Makmur'!Print_Area</vt:lpstr>
      <vt:lpstr>'Sumber Rejeki'!Print_Area</vt:lpstr>
      <vt:lpstr>'UD Yasar'!Print_Area</vt:lpstr>
      <vt:lpstr>'UD. Hasil Bumi'!Print_Area</vt:lpstr>
      <vt:lpstr>'Umi Rosyid'!Print_Area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Riesthandie RSR. Riesthandie</dc:creator>
  <dc:description/>
  <cp:lastModifiedBy>Rahmita RHR. Rufaidah</cp:lastModifiedBy>
  <cp:revision>3</cp:revision>
  <cp:lastPrinted>2025-07-04T10:50:20Z</cp:lastPrinted>
  <dcterms:created xsi:type="dcterms:W3CDTF">2025-05-07T01:58:52Z</dcterms:created>
  <dcterms:modified xsi:type="dcterms:W3CDTF">2026-07-01T07:58:09Z</dcterms:modified>
  <dc:language>en-US</dc:language>
</cp:coreProperties>
</file>