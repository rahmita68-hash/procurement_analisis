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ahmita.rufaidah\Downloads\"/>
    </mc:Choice>
  </mc:AlternateContent>
  <xr:revisionPtr revIDLastSave="0" documentId="13_ncr:1_{1C0A253F-92F2-40E1-AF17-F663E9766E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kap Spons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F22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6" i="1"/>
  <c r="D22" i="1"/>
</calcChain>
</file>

<file path=xl/sharedStrings.xml><?xml version="1.0" encoding="utf-8"?>
<sst xmlns="http://schemas.openxmlformats.org/spreadsheetml/2006/main" count="40" uniqueCount="36">
  <si>
    <t>Rekap Uang Masuk Sponsor</t>
  </si>
  <si>
    <t>HUT Mapan - 2026</t>
  </si>
  <si>
    <t>Tanggal</t>
  </si>
  <si>
    <t>Keterangan</t>
  </si>
  <si>
    <t>Nominal</t>
  </si>
  <si>
    <t>2026-05-24</t>
  </si>
  <si>
    <t>Uang Masuk Sponsor Ayam Penjantan</t>
  </si>
  <si>
    <t>2026-05-25</t>
  </si>
  <si>
    <t>Uang Masuk Sponsor Legend Beef</t>
  </si>
  <si>
    <t>Uang masuk Sponsor Otot Mitra</t>
  </si>
  <si>
    <t>Uang masuk Sponsor UD. Berkah Putra Mahkota (Daging)</t>
  </si>
  <si>
    <t>2026-05-27</t>
  </si>
  <si>
    <t>Uang Masuk Sponsor Arlein Stuff (Kantong Sampah)</t>
  </si>
  <si>
    <t>2026-05-28</t>
  </si>
  <si>
    <t>Uang Masuk Sponsor Daging Kandang</t>
  </si>
  <si>
    <t>2026-05-30</t>
  </si>
  <si>
    <t>Uang Masuk Sponsor Bakol Udang</t>
  </si>
  <si>
    <t>2026-06-03</t>
  </si>
  <si>
    <t>Uang Masuk Sponsor Teh Tong Tji</t>
  </si>
  <si>
    <t>2026-06-05</t>
  </si>
  <si>
    <t>Uang Masuk Sponsor Tempe Hienak</t>
  </si>
  <si>
    <t>Uang Masuk Sponsor Plastik Wrap</t>
  </si>
  <si>
    <t>Uang Masuk Sponsor Ayam Redjo</t>
  </si>
  <si>
    <t>2026-06-06</t>
  </si>
  <si>
    <t>Uang Masuk Sponsor Bawang Goreng</t>
  </si>
  <si>
    <t>2026-06-09</t>
  </si>
  <si>
    <t>Uang Masuk Sponsor Livi Tissue</t>
  </si>
  <si>
    <t>2026-06-11</t>
  </si>
  <si>
    <t>Uang Masuk Sponsor Anugrah Telur</t>
  </si>
  <si>
    <t>2026-06-22</t>
  </si>
  <si>
    <t>Uang Masuk Sponsor Dairy Champ (SKM)</t>
  </si>
  <si>
    <t>2026-06-25</t>
  </si>
  <si>
    <t>Uang Masuk Sponsor BSI</t>
  </si>
  <si>
    <t>Total</t>
  </si>
  <si>
    <t>Total Pembelian</t>
  </si>
  <si>
    <t>%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</si>
</sst>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yyyy\-mm\-dd"/>
    <numFmt numFmtId="165" formatCode="&quot;Rp&quot;#,##0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1B365D"/>
      <name val="Segoe UI"/>
      <family val="2"/>
    </font>
    <font>
      <b/>
      <sz val="11"/>
      <color rgb="FFFFFFFF"/>
      <name val="Segoe UI"/>
      <family val="2"/>
    </font>
    <font>
      <sz val="10"/>
      <name val="Segoe UI"/>
      <family val="2"/>
    </font>
    <font>
      <b/>
      <sz val="11"/>
      <name val="Segoe UI"/>
      <family val="2"/>
    </font>
    <font>
      <b/>
      <i/>
      <sz val="12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7FAFC"/>
        <bgColor rgb="FFF7FAFC"/>
      </patternFill>
    </fill>
    <fill>
      <patternFill patternType="solid">
        <fgColor rgb="FFE2E8F0"/>
        <bgColor rgb="FFE2E8F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5" fillId="0" borderId="0" xfId="0" applyFont="1"/>
    <xf numFmtId="0" fontId="4" fillId="4" borderId="1" xfId="0" applyFont="1" applyFill="1" applyBorder="1" applyAlignment="1">
      <alignment horizontal="center"/>
    </xf>
    <xf numFmtId="0" fontId="0" fillId="4" borderId="1" xfId="0" applyFill="1" applyBorder="1"/>
    <xf numFmtId="165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2" fontId="0" fillId="0" borderId="0" xfId="0" applyNumberFormat="1" applyAlignment="1">
      <alignment horizontal="left" vertical="center"/>
    </xf>
    <xf numFmtId="42" fontId="2" fillId="2" borderId="1" xfId="0" applyNumberFormat="1" applyFont="1" applyFill="1" applyBorder="1" applyAlignment="1">
      <alignment horizontal="left" vertical="center"/>
    </xf>
    <xf numFmtId="42" fontId="3" fillId="0" borderId="1" xfId="0" applyNumberFormat="1" applyFont="1" applyBorder="1" applyAlignment="1">
      <alignment horizontal="left" vertical="center"/>
    </xf>
    <xf numFmtId="42" fontId="3" fillId="3" borderId="1" xfId="0" applyNumberFormat="1" applyFont="1" applyFill="1" applyBorder="1" applyAlignment="1">
      <alignment horizontal="left" vertical="center"/>
    </xf>
    <xf numFmtId="42" fontId="4" fillId="4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165" fontId="2" fillId="2" borderId="1" xfId="0" applyNumberFormat="1" applyFont="1" applyFill="1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5" fontId="7" fillId="5" borderId="1" xfId="0" applyNumberFormat="1" applyFont="1" applyFill="1" applyBorder="1" applyAlignment="1">
      <alignment horizontal="center"/>
    </xf>
    <xf numFmtId="9" fontId="0" fillId="5" borderId="1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2"/>
  <sheetViews>
    <sheetView tabSelected="1" workbookViewId="0">
      <selection activeCell="D2" sqref="D2"/>
    </sheetView>
  </sheetViews>
  <sheetFormatPr defaultRowHeight="15" x14ac:dyDescent="0.25"/>
  <cols>
    <col min="2" max="2" width="28" customWidth="1"/>
    <col min="3" max="3" width="56" customWidth="1"/>
    <col min="4" max="4" width="17.28515625" style="13" bestFit="1" customWidth="1"/>
    <col min="5" max="5" width="4.42578125" customWidth="1"/>
    <col min="6" max="6" width="19.42578125" style="12" bestFit="1" customWidth="1"/>
    <col min="7" max="7" width="15.7109375" style="12" customWidth="1"/>
  </cols>
  <sheetData>
    <row r="2" spans="2:7" ht="25.5" x14ac:dyDescent="0.5">
      <c r="B2" s="1" t="s">
        <v>0</v>
      </c>
    </row>
    <row r="3" spans="2:7" ht="17.25" x14ac:dyDescent="0.3">
      <c r="B3" s="8" t="s">
        <v>1</v>
      </c>
    </row>
    <row r="5" spans="2:7" ht="16.5" x14ac:dyDescent="0.25">
      <c r="B5" s="2" t="s">
        <v>2</v>
      </c>
      <c r="C5" s="3" t="s">
        <v>3</v>
      </c>
      <c r="D5" s="14" t="s">
        <v>4</v>
      </c>
      <c r="F5" s="19" t="s">
        <v>34</v>
      </c>
      <c r="G5" s="11" t="s">
        <v>35</v>
      </c>
    </row>
    <row r="6" spans="2:7" x14ac:dyDescent="0.25">
      <c r="B6" s="4" t="s">
        <v>5</v>
      </c>
      <c r="C6" s="5" t="s">
        <v>6</v>
      </c>
      <c r="D6" s="15">
        <v>1000000</v>
      </c>
      <c r="F6" s="20">
        <v>153348500</v>
      </c>
      <c r="G6" s="22">
        <f>D6/F6</f>
        <v>6.5210941091696367E-3</v>
      </c>
    </row>
    <row r="7" spans="2:7" x14ac:dyDescent="0.25">
      <c r="B7" s="6" t="s">
        <v>7</v>
      </c>
      <c r="C7" s="7" t="s">
        <v>8</v>
      </c>
      <c r="D7" s="16">
        <v>600000</v>
      </c>
      <c r="F7" s="21">
        <v>425433500</v>
      </c>
      <c r="G7" s="22">
        <f t="shared" ref="G7:G20" si="0">D7/F7</f>
        <v>1.4103261731857036E-3</v>
      </c>
    </row>
    <row r="8" spans="2:7" x14ac:dyDescent="0.25">
      <c r="B8" s="4" t="s">
        <v>7</v>
      </c>
      <c r="C8" s="5" t="s">
        <v>9</v>
      </c>
      <c r="D8" s="15">
        <v>1500000</v>
      </c>
      <c r="F8" s="21">
        <v>71025450</v>
      </c>
      <c r="G8" s="22">
        <f t="shared" si="0"/>
        <v>2.1119190374717794E-2</v>
      </c>
    </row>
    <row r="9" spans="2:7" x14ac:dyDescent="0.25">
      <c r="B9" s="6" t="s">
        <v>7</v>
      </c>
      <c r="C9" s="7" t="s">
        <v>10</v>
      </c>
      <c r="D9" s="16">
        <v>300000</v>
      </c>
      <c r="F9" s="21">
        <v>40334000</v>
      </c>
      <c r="G9" s="22">
        <f t="shared" si="0"/>
        <v>7.4378935885357263E-3</v>
      </c>
    </row>
    <row r="10" spans="2:7" x14ac:dyDescent="0.25">
      <c r="B10" s="4" t="s">
        <v>11</v>
      </c>
      <c r="C10" s="5" t="s">
        <v>12</v>
      </c>
      <c r="D10" s="15">
        <v>200000</v>
      </c>
      <c r="F10" s="21">
        <v>19753500</v>
      </c>
      <c r="G10" s="22">
        <f t="shared" si="0"/>
        <v>1.0124788012250993E-2</v>
      </c>
    </row>
    <row r="11" spans="2:7" x14ac:dyDescent="0.25">
      <c r="B11" s="6" t="s">
        <v>13</v>
      </c>
      <c r="C11" s="7" t="s">
        <v>14</v>
      </c>
      <c r="D11" s="16">
        <v>500000</v>
      </c>
      <c r="F11" s="21">
        <v>644408800</v>
      </c>
      <c r="G11" s="22">
        <f t="shared" si="0"/>
        <v>7.7590498453776544E-4</v>
      </c>
    </row>
    <row r="12" spans="2:7" x14ac:dyDescent="0.25">
      <c r="B12" s="4" t="s">
        <v>15</v>
      </c>
      <c r="C12" s="5" t="s">
        <v>16</v>
      </c>
      <c r="D12" s="15">
        <v>250000</v>
      </c>
      <c r="F12" s="21">
        <v>121725380</v>
      </c>
      <c r="G12" s="22">
        <f t="shared" si="0"/>
        <v>2.0538034056660987E-3</v>
      </c>
    </row>
    <row r="13" spans="2:7" x14ac:dyDescent="0.25">
      <c r="B13" s="6" t="s">
        <v>17</v>
      </c>
      <c r="C13" s="7" t="s">
        <v>18</v>
      </c>
      <c r="D13" s="16">
        <v>300000</v>
      </c>
      <c r="F13" s="21">
        <v>81395000</v>
      </c>
      <c r="G13" s="22">
        <f t="shared" si="0"/>
        <v>3.68573008170035E-3</v>
      </c>
    </row>
    <row r="14" spans="2:7" x14ac:dyDescent="0.25">
      <c r="B14" s="4" t="s">
        <v>19</v>
      </c>
      <c r="C14" s="5" t="s">
        <v>20</v>
      </c>
      <c r="D14" s="15">
        <v>1000000</v>
      </c>
      <c r="F14" s="21">
        <v>103272030</v>
      </c>
      <c r="G14" s="22">
        <f t="shared" si="0"/>
        <v>9.6831639699539174E-3</v>
      </c>
    </row>
    <row r="15" spans="2:7" x14ac:dyDescent="0.25">
      <c r="B15" s="6" t="s">
        <v>19</v>
      </c>
      <c r="C15" s="7" t="s">
        <v>21</v>
      </c>
      <c r="D15" s="16">
        <v>300000</v>
      </c>
      <c r="F15" s="21">
        <v>39896000</v>
      </c>
      <c r="G15" s="22">
        <f t="shared" si="0"/>
        <v>7.5195508321636252E-3</v>
      </c>
    </row>
    <row r="16" spans="2:7" x14ac:dyDescent="0.25">
      <c r="B16" s="4" t="s">
        <v>19</v>
      </c>
      <c r="C16" s="5" t="s">
        <v>22</v>
      </c>
      <c r="D16" s="15">
        <v>3000000</v>
      </c>
      <c r="F16" s="21">
        <v>839490500</v>
      </c>
      <c r="G16" s="22">
        <f t="shared" si="0"/>
        <v>3.573596127651236E-3</v>
      </c>
    </row>
    <row r="17" spans="2:7" x14ac:dyDescent="0.25">
      <c r="B17" s="6" t="s">
        <v>23</v>
      </c>
      <c r="C17" s="7" t="s">
        <v>24</v>
      </c>
      <c r="D17" s="16">
        <v>2000000</v>
      </c>
      <c r="F17" s="21">
        <v>250104800</v>
      </c>
      <c r="G17" s="22">
        <f t="shared" si="0"/>
        <v>7.9966478052400439E-3</v>
      </c>
    </row>
    <row r="18" spans="2:7" x14ac:dyDescent="0.25">
      <c r="B18" s="4" t="s">
        <v>25</v>
      </c>
      <c r="C18" s="5" t="s">
        <v>26</v>
      </c>
      <c r="D18" s="15">
        <v>1000000</v>
      </c>
      <c r="F18" s="21">
        <v>57123000</v>
      </c>
      <c r="G18" s="22">
        <f t="shared" si="0"/>
        <v>1.7506083363968979E-2</v>
      </c>
    </row>
    <row r="19" spans="2:7" x14ac:dyDescent="0.25">
      <c r="B19" s="6" t="s">
        <v>27</v>
      </c>
      <c r="C19" s="7" t="s">
        <v>28</v>
      </c>
      <c r="D19" s="16">
        <v>500000</v>
      </c>
      <c r="F19" s="21">
        <v>206571000</v>
      </c>
      <c r="G19" s="22">
        <f t="shared" si="0"/>
        <v>2.4204752845268696E-3</v>
      </c>
    </row>
    <row r="20" spans="2:7" x14ac:dyDescent="0.25">
      <c r="B20" s="4" t="s">
        <v>29</v>
      </c>
      <c r="C20" s="5" t="s">
        <v>30</v>
      </c>
      <c r="D20" s="15">
        <v>1000000</v>
      </c>
      <c r="F20" s="21">
        <v>40080552</v>
      </c>
      <c r="G20" s="22">
        <f t="shared" si="0"/>
        <v>2.4949756181002695E-2</v>
      </c>
    </row>
    <row r="21" spans="2:7" x14ac:dyDescent="0.25">
      <c r="B21" s="6" t="s">
        <v>31</v>
      </c>
      <c r="C21" s="7" t="s">
        <v>32</v>
      </c>
      <c r="D21" s="16">
        <v>3000000</v>
      </c>
      <c r="F21" s="21"/>
      <c r="G21" s="18"/>
    </row>
    <row r="22" spans="2:7" ht="16.5" x14ac:dyDescent="0.3">
      <c r="B22" s="9" t="s">
        <v>33</v>
      </c>
      <c r="C22" s="10"/>
      <c r="D22" s="17">
        <f>SUM(D6:D21)</f>
        <v>16450000</v>
      </c>
      <c r="F22" s="23">
        <f>SUM(F6:F21)</f>
        <v>3093962012</v>
      </c>
      <c r="G22" s="24">
        <f>D22/F22</f>
        <v>5.3168073609819099E-3</v>
      </c>
    </row>
  </sheetData>
  <mergeCells count="1">
    <mergeCell ref="B22:C22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Sponsor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Rahmita RHR. Rufaidah</cp:lastModifiedBy>
  <dcterms:created xsi:type="dcterms:W3CDTF">2026-07-04T04:23:31Z</dcterms:created>
  <dcterms:modified xsi:type="dcterms:W3CDTF">2026-07-04T04:51:23Z</dcterms:modified>
</cp:coreProperties>
</file>