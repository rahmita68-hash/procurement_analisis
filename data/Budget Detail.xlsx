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rahmita.rufaidah\Downloads\"/>
    </mc:Choice>
  </mc:AlternateContent>
  <xr:revisionPtr revIDLastSave="0" documentId="13_ncr:1_{43B214C5-17F5-4D59-B78E-51354459B85F}" xr6:coauthVersionLast="47" xr6:coauthVersionMax="47" xr10:uidLastSave="{00000000-0000-0000-0000-000000000000}"/>
  <bookViews>
    <workbookView xWindow="-120" yWindow="-120" windowWidth="20730" windowHeight="11160" xr2:uid="{4DCFECA3-000E-448D-81A8-4BFFD4E8F24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G8" i="1" l="1"/>
  <c r="G9" i="1"/>
  <c r="G10" i="1"/>
  <c r="G11" i="1"/>
  <c r="G12" i="1"/>
  <c r="G7" i="1"/>
  <c r="F8" i="1"/>
  <c r="F9" i="1"/>
  <c r="F10" i="1"/>
  <c r="F11" i="1"/>
  <c r="F12" i="1"/>
  <c r="F13" i="1"/>
  <c r="F14" i="1"/>
  <c r="F15" i="1"/>
  <c r="F16" i="1"/>
  <c r="F17" i="1"/>
  <c r="F18" i="1"/>
  <c r="E19" i="1"/>
  <c r="D19" i="1"/>
  <c r="F7" i="1"/>
  <c r="F19" i="1" l="1"/>
</calcChain>
</file>

<file path=xl/sharedStrings.xml><?xml version="1.0" encoding="utf-8"?>
<sst xmlns="http://schemas.openxmlformats.org/spreadsheetml/2006/main" count="23" uniqueCount="23">
  <si>
    <t>BUDGETING PROCUREMENT</t>
  </si>
  <si>
    <t>NO</t>
  </si>
  <si>
    <t>BUDGETING</t>
  </si>
  <si>
    <t>BUDGET</t>
  </si>
  <si>
    <t>ACTUAL</t>
  </si>
  <si>
    <t>SAVING</t>
  </si>
  <si>
    <t>Jan</t>
  </si>
  <si>
    <t>Feb</t>
  </si>
  <si>
    <t>Mar</t>
  </si>
  <si>
    <t>Apr</t>
  </si>
  <si>
    <t>May</t>
  </si>
  <si>
    <t>Jun</t>
  </si>
  <si>
    <t>Jul</t>
  </si>
  <si>
    <t>Aug</t>
  </si>
  <si>
    <t>Sep</t>
  </si>
  <si>
    <t>Oct</t>
  </si>
  <si>
    <t>Nov</t>
  </si>
  <si>
    <t>Des</t>
  </si>
  <si>
    <t>TOTAL</t>
  </si>
  <si>
    <t>% Budget tidak sesuai</t>
  </si>
  <si>
    <t>Efisiensi Juni sebesar 12,32% (Rp369,7 Juta) terjadi karena penyerapan anggaran program kerja berjalan lebih optimal dibanding bulan lalu, namun tetap terkontrol ketat di bawah batas maksimal penutupan Semester 1.</t>
  </si>
  <si>
    <t>Analisa</t>
  </si>
  <si>
    <t>Penyerapan anggaran mulai optimal, Jika dibanding bulan April dan Mei yang sisa dananya sangat besar, penyerapan anggaran di bulan Juni ini jauh lebih optimal. Kenaikan actual cost ini terjadi karena beberapa program atau sisa proyek eksternal yang sempat tertunda di bulan-bulan sebelumnya sudah mulai berjalan dan ditagihkan di bulan Juni.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</si>
</sst>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Rp&quot;* #,##0_-;\-&quot;Rp&quot;* #,##0_-;_-&quot;Rp&quot;* &quot;-&quot;_-;_-@_-"/>
    <numFmt numFmtId="43" formatCode="_-* #,##0.00_-;\-* #,##0.00_-;_-* &quot;-&quot;??_-;_-@_-"/>
    <numFmt numFmtId="165" formatCode="&quot;Rp&quot;#,##0"/>
  </numFmts>
  <fonts count="8"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
      <b/>
      <sz val="12"/>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4" tint="0.59999389629810485"/>
        <bgColor indexed="64"/>
      </patternFill>
    </fill>
  </fills>
  <borders count="2">
    <border>
      <left/>
      <right/>
      <top/>
      <bottom/>
      <diagonal/>
    </border>
    <border>
      <left style="thin">
        <color theme="4"/>
      </left>
      <right style="thin">
        <color theme="4"/>
      </right>
      <top style="thin">
        <color theme="4"/>
      </top>
      <bottom style="thin">
        <color theme="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indent="1"/>
    </xf>
    <xf numFmtId="165" fontId="1" fillId="0" borderId="1" xfId="1" applyNumberFormat="1" applyFont="1" applyBorder="1" applyAlignment="1">
      <alignment horizontal="right" vertical="center"/>
    </xf>
    <xf numFmtId="165" fontId="0" fillId="3" borderId="1" xfId="1" applyNumberFormat="1" applyFont="1" applyFill="1" applyBorder="1" applyAlignment="1">
      <alignment horizontal="right" vertical="center"/>
    </xf>
    <xf numFmtId="165" fontId="0" fillId="3" borderId="1" xfId="0" applyNumberFormat="1" applyFill="1" applyBorder="1" applyAlignment="1">
      <alignment horizontal="right" vertical="center"/>
    </xf>
    <xf numFmtId="165" fontId="0" fillId="0" borderId="1" xfId="1" applyNumberFormat="1" applyFont="1" applyBorder="1" applyAlignment="1">
      <alignment horizontal="right" vertical="center"/>
    </xf>
    <xf numFmtId="0" fontId="5" fillId="2" borderId="1" xfId="0" applyFont="1" applyFill="1" applyBorder="1" applyAlignment="1">
      <alignment horizontal="center" vertical="center"/>
    </xf>
    <xf numFmtId="42" fontId="4" fillId="4" borderId="1" xfId="1" applyNumberFormat="1"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indent="1"/>
    </xf>
    <xf numFmtId="165" fontId="3" fillId="0" borderId="1" xfId="1" applyNumberFormat="1" applyFont="1" applyBorder="1" applyAlignment="1">
      <alignment horizontal="right" vertical="center"/>
    </xf>
    <xf numFmtId="165" fontId="3" fillId="3" borderId="1" xfId="1" applyNumberFormat="1" applyFont="1" applyFill="1" applyBorder="1" applyAlignment="1">
      <alignment horizontal="right" vertical="center"/>
    </xf>
    <xf numFmtId="0" fontId="0" fillId="0" borderId="0" xfId="0" applyAlignment="1">
      <alignment horizontal="center"/>
    </xf>
    <xf numFmtId="0" fontId="6" fillId="2" borderId="0" xfId="0" applyFont="1" applyFill="1" applyAlignment="1">
      <alignment horizontal="center" vertical="center"/>
    </xf>
    <xf numFmtId="9" fontId="0" fillId="3" borderId="1" xfId="2" applyFont="1" applyFill="1" applyBorder="1" applyAlignment="1">
      <alignment horizontal="center" vertical="center"/>
    </xf>
    <xf numFmtId="165" fontId="0" fillId="3" borderId="1" xfId="0" applyNumberFormat="1"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top" wrapText="1"/>
    </xf>
    <xf numFmtId="0" fontId="7" fillId="0" borderId="0" xfId="0" applyFont="1"/>
    <xf numFmtId="9" fontId="4" fillId="4" borderId="1" xfId="2" applyFont="1" applyFill="1" applyBorder="1" applyAlignment="1">
      <alignment horizontal="center" vertic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9689F-CB70-45C4-8F82-7889E70F8A6F}">
  <dimension ref="B2:G25"/>
  <sheetViews>
    <sheetView tabSelected="1" workbookViewId="0">
      <selection activeCell="J18" sqref="J18"/>
    </sheetView>
  </sheetViews>
  <sheetFormatPr defaultRowHeight="15" x14ac:dyDescent="0.25"/>
  <cols>
    <col min="1" max="1" width="4.7109375" customWidth="1"/>
    <col min="2" max="2" width="12.5703125" customWidth="1"/>
    <col min="3" max="3" width="11.7109375" bestFit="1" customWidth="1"/>
    <col min="4" max="6" width="17.7109375" bestFit="1" customWidth="1"/>
    <col min="7" max="7" width="21.7109375" style="14" customWidth="1"/>
  </cols>
  <sheetData>
    <row r="2" spans="2:7" x14ac:dyDescent="0.25">
      <c r="B2" s="15" t="s">
        <v>0</v>
      </c>
      <c r="C2" s="15"/>
      <c r="D2" s="15"/>
      <c r="E2" s="15"/>
      <c r="F2" s="15"/>
      <c r="G2" s="15"/>
    </row>
    <row r="3" spans="2:7" ht="21" customHeight="1" x14ac:dyDescent="0.25">
      <c r="B3" s="15"/>
      <c r="C3" s="15"/>
      <c r="D3" s="15"/>
      <c r="E3" s="15"/>
      <c r="F3" s="15"/>
      <c r="G3" s="15"/>
    </row>
    <row r="4" spans="2:7" x14ac:dyDescent="0.25">
      <c r="B4" s="15"/>
      <c r="C4" s="15"/>
      <c r="D4" s="15"/>
      <c r="E4" s="15"/>
      <c r="F4" s="15"/>
      <c r="G4" s="15"/>
    </row>
    <row r="6" spans="2:7" x14ac:dyDescent="0.25">
      <c r="B6" s="1" t="s">
        <v>1</v>
      </c>
      <c r="C6" s="1" t="s">
        <v>2</v>
      </c>
      <c r="D6" s="1" t="s">
        <v>3</v>
      </c>
      <c r="E6" s="1" t="s">
        <v>4</v>
      </c>
      <c r="F6" s="1" t="s">
        <v>5</v>
      </c>
      <c r="G6" s="1" t="s">
        <v>19</v>
      </c>
    </row>
    <row r="7" spans="2:7" x14ac:dyDescent="0.25">
      <c r="B7" s="2">
        <v>1</v>
      </c>
      <c r="C7" s="3" t="s">
        <v>6</v>
      </c>
      <c r="D7" s="4">
        <v>3200000000</v>
      </c>
      <c r="E7" s="5">
        <v>3143665508</v>
      </c>
      <c r="F7" s="6">
        <f>D7-E7</f>
        <v>56334492</v>
      </c>
      <c r="G7" s="16">
        <f>(D7-E7)/D7</f>
        <v>1.7604528750000001E-2</v>
      </c>
    </row>
    <row r="8" spans="2:7" x14ac:dyDescent="0.25">
      <c r="B8" s="2">
        <v>2</v>
      </c>
      <c r="C8" s="3" t="s">
        <v>7</v>
      </c>
      <c r="D8" s="7">
        <v>3800000000</v>
      </c>
      <c r="E8" s="5">
        <v>3757064510</v>
      </c>
      <c r="F8" s="6">
        <f t="shared" ref="F8" si="0">D8-E8</f>
        <v>42935490</v>
      </c>
      <c r="G8" s="16">
        <f t="shared" ref="G8:G12" si="1">(D8-E8)/D8</f>
        <v>1.1298813157894737E-2</v>
      </c>
    </row>
    <row r="9" spans="2:7" x14ac:dyDescent="0.25">
      <c r="B9" s="2">
        <v>3</v>
      </c>
      <c r="C9" s="3" t="s">
        <v>8</v>
      </c>
      <c r="D9" s="7">
        <v>2300000000</v>
      </c>
      <c r="E9" s="5">
        <v>2254747793</v>
      </c>
      <c r="F9" s="6">
        <f t="shared" ref="F9" si="2">D9-E9</f>
        <v>45252207</v>
      </c>
      <c r="G9" s="16">
        <f t="shared" si="1"/>
        <v>1.9674872608695652E-2</v>
      </c>
    </row>
    <row r="10" spans="2:7" x14ac:dyDescent="0.25">
      <c r="B10" s="2">
        <v>4</v>
      </c>
      <c r="C10" s="3" t="s">
        <v>9</v>
      </c>
      <c r="D10" s="7">
        <v>2800000000</v>
      </c>
      <c r="E10" s="5">
        <v>1738361402</v>
      </c>
      <c r="F10" s="6">
        <f t="shared" ref="F10" si="3">D10-E10</f>
        <v>1061638598</v>
      </c>
      <c r="G10" s="16">
        <f t="shared" si="1"/>
        <v>0.37915664214285716</v>
      </c>
    </row>
    <row r="11" spans="2:7" x14ac:dyDescent="0.25">
      <c r="B11" s="2">
        <v>5</v>
      </c>
      <c r="C11" s="3" t="s">
        <v>10</v>
      </c>
      <c r="D11" s="7">
        <v>2800000000</v>
      </c>
      <c r="E11" s="5">
        <v>2347828444</v>
      </c>
      <c r="F11" s="6">
        <f t="shared" ref="F11" si="4">D11-E11</f>
        <v>452171556</v>
      </c>
      <c r="G11" s="16">
        <f t="shared" si="1"/>
        <v>0.16148984142857142</v>
      </c>
    </row>
    <row r="12" spans="2:7" x14ac:dyDescent="0.25">
      <c r="B12" s="10">
        <v>6</v>
      </c>
      <c r="C12" s="11" t="s">
        <v>11</v>
      </c>
      <c r="D12" s="12">
        <v>3000000000</v>
      </c>
      <c r="E12" s="13">
        <v>2630294587</v>
      </c>
      <c r="F12" s="6">
        <f t="shared" ref="F12" si="5">D12-E12</f>
        <v>369705413</v>
      </c>
      <c r="G12" s="16">
        <f t="shared" si="1"/>
        <v>0.12323513766666666</v>
      </c>
    </row>
    <row r="13" spans="2:7" x14ac:dyDescent="0.25">
      <c r="B13" s="2">
        <v>7</v>
      </c>
      <c r="C13" s="3" t="s">
        <v>12</v>
      </c>
      <c r="D13" s="7">
        <v>3100000000</v>
      </c>
      <c r="E13" s="5"/>
      <c r="F13" s="6">
        <f t="shared" ref="F13" si="6">D13-E13</f>
        <v>3100000000</v>
      </c>
      <c r="G13" s="17"/>
    </row>
    <row r="14" spans="2:7" x14ac:dyDescent="0.25">
      <c r="B14" s="2">
        <v>8</v>
      </c>
      <c r="C14" s="3" t="s">
        <v>13</v>
      </c>
      <c r="D14" s="7">
        <v>3200000000</v>
      </c>
      <c r="E14" s="5"/>
      <c r="F14" s="6">
        <f t="shared" ref="F14" si="7">D14-E14</f>
        <v>3200000000</v>
      </c>
      <c r="G14" s="17"/>
    </row>
    <row r="15" spans="2:7" x14ac:dyDescent="0.25">
      <c r="B15" s="2">
        <v>9</v>
      </c>
      <c r="C15" s="3" t="s">
        <v>14</v>
      </c>
      <c r="D15" s="7">
        <v>3200000000</v>
      </c>
      <c r="E15" s="5"/>
      <c r="F15" s="6">
        <f t="shared" ref="F15" si="8">D15-E15</f>
        <v>3200000000</v>
      </c>
      <c r="G15" s="17"/>
    </row>
    <row r="16" spans="2:7" x14ac:dyDescent="0.25">
      <c r="B16" s="2">
        <v>10</v>
      </c>
      <c r="C16" s="3" t="s">
        <v>15</v>
      </c>
      <c r="D16" s="7">
        <v>3500000000</v>
      </c>
      <c r="E16" s="5"/>
      <c r="F16" s="6">
        <f t="shared" ref="F16" si="9">D16-E16</f>
        <v>3500000000</v>
      </c>
      <c r="G16" s="17"/>
    </row>
    <row r="17" spans="2:7" x14ac:dyDescent="0.25">
      <c r="B17" s="2">
        <v>11</v>
      </c>
      <c r="C17" s="3" t="s">
        <v>16</v>
      </c>
      <c r="D17" s="7">
        <v>3500000000</v>
      </c>
      <c r="E17" s="5"/>
      <c r="F17" s="6">
        <f t="shared" ref="F17" si="10">D17-E17</f>
        <v>3500000000</v>
      </c>
      <c r="G17" s="17"/>
    </row>
    <row r="18" spans="2:7" x14ac:dyDescent="0.25">
      <c r="B18" s="2">
        <v>12</v>
      </c>
      <c r="C18" s="3" t="s">
        <v>17</v>
      </c>
      <c r="D18" s="7">
        <v>3800000000</v>
      </c>
      <c r="E18" s="5"/>
      <c r="F18" s="6">
        <f t="shared" ref="F18" si="11">D18-E18</f>
        <v>3800000000</v>
      </c>
      <c r="G18" s="17"/>
    </row>
    <row r="19" spans="2:7" x14ac:dyDescent="0.25">
      <c r="B19" s="8"/>
      <c r="C19" s="8" t="s">
        <v>18</v>
      </c>
      <c r="D19" s="9">
        <f>SUM(D7:D18)</f>
        <v>38200000000</v>
      </c>
      <c r="E19" s="9">
        <f>SUM(E7:E16)</f>
        <v>15871962244</v>
      </c>
      <c r="F19" s="9">
        <f>SUM(F7:F16)</f>
        <v>15028037756</v>
      </c>
      <c r="G19" s="21"/>
    </row>
    <row r="21" spans="2:7" ht="15.75" x14ac:dyDescent="0.25">
      <c r="B21" s="20" t="s">
        <v>21</v>
      </c>
    </row>
    <row r="22" spans="2:7" ht="10.5" customHeight="1" x14ac:dyDescent="0.25">
      <c r="B22" s="20"/>
    </row>
    <row r="23" spans="2:7" ht="32.25" customHeight="1" x14ac:dyDescent="0.25">
      <c r="B23" s="19" t="s">
        <v>20</v>
      </c>
      <c r="C23" s="19"/>
      <c r="D23" s="19"/>
      <c r="E23" s="19"/>
      <c r="F23" s="19"/>
      <c r="G23" s="19"/>
    </row>
    <row r="24" spans="2:7" ht="7.5" customHeight="1" x14ac:dyDescent="0.25"/>
    <row r="25" spans="2:7" ht="57.75" customHeight="1" x14ac:dyDescent="0.25">
      <c r="B25" s="18" t="s">
        <v>22</v>
      </c>
      <c r="C25" s="18"/>
      <c r="D25" s="18"/>
      <c r="E25" s="18"/>
      <c r="F25" s="18"/>
      <c r="G25" s="18"/>
    </row>
  </sheetData>
  <mergeCells count="3">
    <mergeCell ref="B2:G4"/>
    <mergeCell ref="B23:G23"/>
    <mergeCell ref="B25:G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Rahmita RHR. Rufaidah</dc:creator>
  <cp:lastModifiedBy>Rahmita RHR. Rufaidah</cp:lastModifiedBy>
  <dcterms:created xsi:type="dcterms:W3CDTF">2026-07-04T04:32:36Z</dcterms:created>
  <dcterms:modified xsi:type="dcterms:W3CDTF">2026-07-04T05:08:38Z</dcterms:modified>
</cp:coreProperties>
</file>